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split_audit_sheets.py</author>
  </authors>
  <commentList>
    <comment ref="H1" authorId="0" shapeId="0">
      <text>
        <t>Enter A, B or C. Leave blank until checked.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0" customWidth="1" min="1" max="1"/>
    <col width="90" customWidth="1" min="2" max="2"/>
  </cols>
  <sheetData>
    <row r="1">
      <c r="A1" s="1" t="inlineStr">
        <is>
          <t>Verification of the split-cluster validation codes (Section 6 of the manuscript)</t>
        </is>
      </c>
    </row>
    <row r="3">
      <c r="A3" s="2" t="inlineStr">
        <is>
          <t>Each row of sheet Clusters is one same-day split cluster: one buying unit, one vendor, one signing day, two or more contracts of at most THB 500,000 summing to THB 0.5–2 million. Vendor names are withheld (PDPA).</t>
        </is>
      </c>
    </row>
    <row r="4">
      <c r="A4" s="2" t="inlineStr">
        <is>
          <t>Column 'proposed code' holds the code assigned in preparing the manuscript. Read the project names and enter your own code in the yellow column 'verified code' (A, B or C); add a note when you disagree.</t>
        </is>
      </c>
    </row>
    <row r="5">
      <c r="A5" s="2" t="inlineStr">
        <is>
          <t>Example: cluster 2558-001 lists three orders of concrete poles of different sizes from the same vendor on one day → A if you judge them one purchase divided, B if separate needs.</t>
        </is>
      </c>
    </row>
    <row r="6">
      <c r="A6" s="2" t="inlineStr">
        <is>
          <t>Sheet Summary counts the codes by period from both columns and the share of rows where they agree; its figures update as you fill in the verified codes.</t>
        </is>
      </c>
    </row>
    <row r="8">
      <c r="A8" s="3" t="inlineStr">
        <is>
          <t>Code</t>
        </is>
      </c>
      <c r="B8" s="3" t="inlineStr">
        <is>
          <t>Meaning</t>
        </is>
      </c>
    </row>
    <row r="9">
      <c r="A9" s="4" t="inlineStr">
        <is>
          <t>A</t>
        </is>
      </c>
      <c r="B9" s="2" t="inlineStr">
        <is>
          <t>One purchase divided: the same item or the same type of work bought in two or more contracts (e.g., concrete roads in several villages, diesel in several orders, one drug in several orders).</t>
        </is>
      </c>
    </row>
    <row r="10">
      <c r="A10" s="4" t="inlineStr">
        <is>
          <t>B</t>
        </is>
      </c>
      <c r="B10" s="2" t="inlineStr">
        <is>
          <t>Separate needs: different items or works only, which happen to share a vendor and a signing day.</t>
        </is>
      </c>
    </row>
    <row r="11">
      <c r="A11" s="4" t="inlineStr">
        <is>
          <t>C</t>
        </is>
      </c>
      <c r="B11" s="2" t="inlineStr">
        <is>
          <t>Cannot tell: project names too generic to decide.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9" customWidth="1" min="4" max="4"/>
    <col width="12" customWidth="1" min="5" max="5"/>
    <col width="90" customWidth="1" min="6" max="6"/>
    <col width="9" customWidth="1" min="7" max="7"/>
    <col width="9" customWidth="1" min="8" max="8"/>
    <col width="30" customWidth="1" min="9" max="9"/>
  </cols>
  <sheetData>
    <row r="1">
      <c r="A1" s="3" t="inlineStr">
        <is>
          <t>cluster</t>
        </is>
      </c>
      <c r="B1" s="3" t="inlineStr">
        <is>
          <t>period</t>
        </is>
      </c>
      <c r="C1" s="3" t="inlineStr">
        <is>
          <t>agency</t>
        </is>
      </c>
      <c r="D1" s="3" t="inlineStr">
        <is>
          <t>contracts</t>
        </is>
      </c>
      <c r="E1" s="3" t="inlineStr">
        <is>
          <t>total THB</t>
        </is>
      </c>
      <c r="F1" s="3" t="inlineStr">
        <is>
          <t>project names [agreed price, THB]</t>
        </is>
      </c>
      <c r="G1" s="3" t="inlineStr">
        <is>
          <t>proposed code</t>
        </is>
      </c>
      <c r="H1" s="3" t="inlineStr">
        <is>
          <t>verified code</t>
        </is>
      </c>
      <c r="I1" s="3" t="inlineStr">
        <is>
          <t>note</t>
        </is>
      </c>
    </row>
    <row r="2">
      <c r="A2" s="5" t="inlineStr">
        <is>
          <t>2558-001</t>
        </is>
      </c>
      <c r="B2" s="5" t="inlineStr">
        <is>
          <t>pre (FY2015)</t>
        </is>
      </c>
      <c r="C2" s="5" t="inlineStr">
        <is>
          <t>การไฟฟ้าส่วนภูมิภาค</t>
        </is>
      </c>
      <c r="D2" s="5" t="n">
        <v>3</v>
      </c>
      <c r="E2" s="5" t="n">
        <v>723490</v>
      </c>
      <c r="F2" s="5" t="inlineStr">
        <is>
          <t>1. ซื้อรหัสวัสดุ 1-00-001-0001 ชื่อ เสา คอร.ขนาด 8 เมตร ราคากลาง 1,650 บาท วงเงินประมาณการ 292,050 บาท งานงบลงทุน ปี 2558 (คฟม.) WBS P-NHE00.0-C-LBRXX.2000 โดยวิธีตกลงราคา [291,165]
2. ซื้อรหัสวัสดุ 1-00-001-0001 ชื่อ เสา คอร.ขนาด 8 เมตร ราคากลาง 1,650 บาท วงเงินประมาณการ 239,250 บาท งานงบลงทุน ปี 2558 (คฟก.) WBS P-RHE00.0-C-LBRXX.2000 โดยวิธีตกลงราคา [238,525]
3. ซื้อรหัสวัสดุ 1-00-001-0004 ชื่อ เสา คอร.ขนาด 12 เมตร ราคากลาง 4,850 บาท วงเงินประมาณการ 194,000 บาท งานงบผู้ใช้ไฟ ปี 2558  WBS C-58-C-LBRBG.2000 โดยวิธีตกลงราคา [193,800]</t>
        </is>
      </c>
      <c r="G2" s="5" t="inlineStr">
        <is>
          <t>A</t>
        </is>
      </c>
      <c r="H2" s="6" t="n"/>
      <c r="I2" s="6" t="n"/>
    </row>
    <row r="3">
      <c r="A3" s="5" t="inlineStr">
        <is>
          <t>2558-002</t>
        </is>
      </c>
      <c r="B3" s="5" t="inlineStr">
        <is>
          <t>pre (FY2015)</t>
        </is>
      </c>
      <c r="C3" s="5" t="inlineStr">
        <is>
          <t>โรงพยาบาลลำปาง</t>
        </is>
      </c>
      <c r="D3" s="5" t="n">
        <v>16</v>
      </c>
      <c r="E3" s="5" t="n">
        <v>1218147</v>
      </c>
      <c r="F3" s="5" t="inlineStr">
        <is>
          <t>1. ซื้อdonepezil 10 mg tablet, 30*28 tablet (51.99.99.99 -249303) โดยวิธีตกลงราคา [98,386]
2. ซื้อวัสดุอุปกรณ์ที่ใช้ในโรงพยาบาล (30.22.24.00 ) COLOSTOMY BAG ขนาด 50 mm.  1 รายการ จำนวน 65 กล่อง โดยวิธีตกลงราคา [97,370]
3. ซื้อbrinzolamide 10 mg/1 mL eye drops, suspension, 5 mL 250 bottle (51.99.99.99 -780397) โดยวิธีตกลงราคา [96,835]
4. ซื้อbrinzolamide 10 mg/1 mL eye drops, suspension, 5 mL 250 bottle (51.99.99.99 -780397) โดยวิธีตกลงราคา [96,835]
5. ซื้อamino acids + electrolytes + lipids solution for infusion, 1.44 L 120 bag (51.99.99.99 -677109) โดยวิธีตกลงราคา [96,300]
6. ซื้อsodium hyaluronate 180 mg/100 mL eye drops, solution, 300 mcL 100*60 unit dose (51.99.99.99 -744954) โดยวิธีตกลงราคา [96,086]
7. ซื้ออุปกรณ์ต่างๆ เกี่ยวกับกระบอกฉีดยา (42.14.26.15 ) เวชภัณฑ์ที่มิใช่ยา (DIS.SYRINGE) 2 รายการ จำนวน 1 งาน โดยวิธีตกลงราคา [95,684]
8. ซื้อrabbit anti-human thymocyte immunoglobulin 25 mg powder for solution for injection, 25 mg 10 vial (51.99.99.99 -208319) โดยวิธีตกลงราคา [92,000]
9. ซื้อrabbit anti-human thymocyte immunoglobulin 25 mg powder for solution for injection, 25 mg 10 vial (51.99.99.99 -208319) โดยวิธีตกลงราคา [92,000]
10. ซื้อbortezomib 1 mg powder for solution for injection, 4 vial (51.99.99.99 -675088) โดยวิธีตกลงราคา [84,102]
11. ซื้อวัสดุอุปกรณ์ที่ใช้ในโรงพยาบาล (30.22.24.00 ) เวชภัณฑ์ที่มิใช่ยา 2 รายการ จำนวน 1 งาน โดยวิธีตกลงราคา [72,760]
12. ซื้อrituximab 10 mg/1 mL concentrate for solution for infusion, 50 mL 1 vial (51.99.99.99 -653160) โดยวิธีตกลงราคา [60,455]
13. ซื้อrituximab 10 mg/1 mL concentrate for solution for infusion, 50 mL 1 vial (51.99.99.99 -653160) โดยวิธีตกลงราคา [60,455]
14. ซื้ออุปกรณ์ ชิ้นส่วนและเครื่องอุปกรณ์ในการหล่อเฝือก (42.24.16.00 ) เฝือกสี 3 รายการ จำนวน 1 งาน โดยวิธีตกลงราคา [49,239]
15. จ้างซ่อมครุภัณฑ์วิทยาศาสตร์การแพทย์  4 รายการ โดยวิธีตกลงราคา [17,441]
16. ซื้ออาหารเสริม 1 รายการ โดยวิธีตกลงราคา [12,198]</t>
        </is>
      </c>
      <c r="G3" s="5" t="inlineStr">
        <is>
          <t>A</t>
        </is>
      </c>
      <c r="H3" s="6" t="n"/>
      <c r="I3" s="6" t="n"/>
    </row>
    <row r="4">
      <c r="A4" s="5" t="inlineStr">
        <is>
          <t>2558-003</t>
        </is>
      </c>
      <c r="B4" s="5" t="inlineStr">
        <is>
          <t>pre (FY2015)</t>
        </is>
      </c>
      <c r="C4" s="5" t="inlineStr">
        <is>
          <t>โรงพยาบาลธรรมศาสตร์เฉลิมพระเกียรติ</t>
        </is>
      </c>
      <c r="D4" s="5" t="n">
        <v>9</v>
      </c>
      <c r="E4" s="5" t="n">
        <v>740128</v>
      </c>
      <c r="F4" s="5" t="inlineStr">
        <is>
          <t>1. ซื้อซื้อยา(ภ.1025-2557) โดยวิธีตกลงราคา [337,718]
2. ซื้อซื้อยา (ภ.1243-2558) โดยวิธีตกลงราคา [148,317]
3. ซื้อวัสดุวิทยาศาสตร์หรือการแพทย์ จำนวน 1 รายการ โดยวิธีตกลงราคา [54,570]
4. ซื้อวัสดุวิทยาศาสตร์หรือการแพทย์ จำนวน 11 รายการ โดยวิธีตกลงราคา [44,512]
5. ซื้อวัสดุวิทยาศาสตร์หรือการแพทย์ จำนวน 8 รายการ โดยวิธีตกลงราคา [41,730]
6. ซื้อวัสดุวิทยาศาสตร์หรือการแพทย์ จำนวน 8 รายการ โดยวิธีตกลงราคา [41,730]
7. ซื้อParietex Comp 30x20cm W THR จำนวน 1 กล่อง โดยวิธีตกลงราคา [29,960]
8. ซื้อPDB Balloon (Round Shape) จำนวน 5 ชิ้น โดยวิธีตกลงราคา [28,751]
9. ซื้อV-LOC 180 Device จำนวน 2 รายการ โดยวิธีตกลงราคา [12,840]</t>
        </is>
      </c>
      <c r="G4" s="5" t="inlineStr">
        <is>
          <t>C</t>
        </is>
      </c>
      <c r="H4" s="6" t="n"/>
      <c r="I4" s="6" t="n"/>
    </row>
    <row r="5">
      <c r="A5" s="5" t="inlineStr">
        <is>
          <t>2558-004</t>
        </is>
      </c>
      <c r="B5" s="5" t="inlineStr">
        <is>
          <t>pre (FY2015)</t>
        </is>
      </c>
      <c r="C5" s="5" t="inlineStr">
        <is>
          <t>โรงพยาบาลอุตรดิตถ์</t>
        </is>
      </c>
      <c r="D5" s="5" t="n">
        <v>13</v>
      </c>
      <c r="E5" s="5" t="n">
        <v>710833</v>
      </c>
      <c r="F5" s="5" t="inlineStr">
        <is>
          <t>1. ซื้อยา Methylprednisolone sod succinate inj.-1gm (51.99.99.99 -569170) โดยวิธีตกลงราคา [99,810]
2. ซื้อยา Venlafaxine HCl extended release cap-75mg (51.99.99.99 -320641) แพค 28 เม็ด โดยวิธีตกลงราคา [91,613]
3. ซื้อยา Glucose+electrolye(GE-2)-600ml (51.99.99.99 -677726) และ Intravenous Amino acid solution-10%-500ml (51.99.99.99 -729921) โดยวิธีตกลงราคา [91,464]
4. ซื้อยา Rabies vaccine inj (51.99.99.99 -668418) โดยวิธีตกลงราคา [86,670]
5. ซื้อยา Tigecycline inj-50mg (51.99.99.99 -662088) โดยวิธีตกลงราคา [83,888]
6. ซื้อยา RtPA-50mg (Alteplase) (51.99.99.99 -654726) โดยวิธีตกลงราคา [83,460]
7. ซื้อยา Insulin Aspart Biphasic 30-100iu/ml-3ml (51.99.99.99 -660150) กล่อง5 หลอด โดยวิธีตกลงราคา [36,380]
8. ซื้อวัสดุการแพทย์ Peritoneal Dialysis ชนิด ultrabag glucose-1.5%,2 lit/bag Low calcium (51.99.99.99 -796220),  Peritoneal Dialysis ชนิด ultrabag glucose-2.5%,2 lit/bag Low calcium (51.99.99.99 -796368) และ PERITONEAL DIALYSIS SOLUTION+7.5% ICODEXTRIN (51.99.99.99 -813427) โดยวิธีตกลงราคา [35,310]
9. ซื้อยา Mesalazine tab-500mg (51.99.99.99 -436823) กล่อง100 เม็ด โดยวิธีตกลงราคา [34,347]
10. ซื้อยา Aripiprazole orally Disintegrating tab-15mg (51.99.99.99 -227686) กล่อง30 เม็ด โดยวิธีตกลงราคา [24,075]
11. ซื้อยา Levobupivacaine inj-0.5%-10ml (51.99.99.99 -803452) กล่อง10 หลอด โดยวิธีตกลงราคา [19,795]
12. ซื้อยา Ropinirole prolonged release tab-2 mg(51.99.99.99 -425413) กล่อง28 เม็ด โดยวิธีตกลงราคา [17,976]
13. ซื้อยา Hydralazine HCl inj-20mg/AMP (51.99.99.99 -763995) กล่อง5 หลอด โดยวิธีตกลงราคา [6,046]</t>
        </is>
      </c>
      <c r="G5" s="5" t="inlineStr">
        <is>
          <t>B</t>
        </is>
      </c>
      <c r="H5" s="6" t="n"/>
      <c r="I5" s="6" t="n"/>
    </row>
    <row r="6">
      <c r="A6" s="5" t="inlineStr">
        <is>
          <t>2558-005</t>
        </is>
      </c>
      <c r="B6" s="5" t="inlineStr">
        <is>
          <t>pre (FY2015)</t>
        </is>
      </c>
      <c r="C6" s="5" t="inlineStr">
        <is>
          <t>โรงพยาบาลพหลพลพยุหเสนา</t>
        </is>
      </c>
      <c r="D6" s="5" t="n">
        <v>7</v>
      </c>
      <c r="E6" s="5" t="n">
        <v>597308</v>
      </c>
      <c r="F6" s="5" t="inlineStr">
        <is>
          <t>1. ซื้อezetimibe 10 mg film-coated tablet, 1 tablet (51.99.99.99 -203657) โดยวิธีตกลงราคา [99,992]
2. ซื้ออาหารเสริมทดแทนและผลิตภัณฑ์ด้านโภชนาการบำบัด (51.19.19.00 ) โดยวิธีตกลงราคา [97,789]
3. ซื้อsevoflurane 1 mL/1 mL inhalation vapour, liquid, 250 mL bottle (51.99.99.99 -755332) โดยวิธีตกลงราคา [96,300]
4. ซื้อยาแก้ปวดและแก้ไขแบบไม่เสพติด (51.14.20.00 ) โดยวิธีตกลงราคา [94,534]
5. ซื้อpyridostigmine 60 mg coated tablet, 1 tablet (51.99.99.99 -647777)120 เม็ด โดยวิธีตกลงราคา [88,853]
6. ซื้อalteplase 50 mg powder and solvent for solution for injection/infusion, 1 vial (51.99.99.99 -654726) โดยวิธีตกลงราคา [83,460]
7. ซื้อphenytoin 50 mg chewable tablet, 1 tablet (51.99.99.99 -313328) 250 เม็ด โดยวิธีตกลงราคา [36,380]</t>
        </is>
      </c>
      <c r="G6" s="5" t="inlineStr">
        <is>
          <t>B</t>
        </is>
      </c>
      <c r="H6" s="6" t="n"/>
      <c r="I6" s="6" t="n"/>
    </row>
    <row r="7">
      <c r="A7" s="5" t="inlineStr">
        <is>
          <t>2558-006</t>
        </is>
      </c>
      <c r="B7" s="5" t="inlineStr">
        <is>
          <t>pre (FY2015)</t>
        </is>
      </c>
      <c r="C7" s="5" t="inlineStr">
        <is>
          <t>โรงพยาบาลบ้านแพ้ว (องค์การมหาชน)</t>
        </is>
      </c>
      <c r="D7" s="5" t="n">
        <v>30</v>
      </c>
      <c r="E7" s="5" t="n">
        <v>1300931</v>
      </c>
      <c r="F7" s="5" t="inlineStr">
        <is>
          <t>1. ซื้อยาจำนวน 1 รายการ(PO5802/035) โดยวิธีตกลงราคา [99,510]
2. ซื้อเวชภัณฑ์ยา 1 รายการ (P05802/006) โดยวิธีตกลงราคา [99,237]
3. ซื้อยาจำนวน 1 รายการ(PO5802/024) โดยวิธีตกลงราคา [95,498]
4. ซื้อเวชภัณฑ์ยา 1 รายการ (P05802/047) โดยวิธีตกลงราคา [90,965]
5. ซื้อเวชภัณฑ์ยา จำนวน1รายการ (PO5802/047) โดยวิธีตกลงราคา [90,965]
6. ซื้อยาจำนวน 1 รายการ(PO5802/040) โดยวิธีตกลงราคา [87,569]
7. ซื้อเวชภัณฑ์ยา 1 รายการ (P05802/049) โดยวิธีตกลงราคา [87,453]
8. ซื้อยาจำนวน 1 รายการ(PO5802/043) โดยวิธีตกลงราคา [72,225]
9. ซื้อเวชภัณฑ์ยา 1 รายการ (P05802/046) โดยวิธีตกลงราคา [70,620]
10. ซื้อเวชภัณฑ์ยา 1 รายการ (P05802/051) โดยวิธีตกลงราคา [60,722]
11. ซื้อยาจำนวน 2 รายการ(PO5802/031) โดยวิธีตกลงราคา [51,232]
12. ซื้อยาจำนวน 1 รายการ(PO5802/023) โดยวิธีตกลงราคา [44,105]
13. ซื้อยาจำนวน 1 รายการ(PO5802/026) โดยวิธีตกลงราคา [39,322]
14. ซื้อยาจำนวน 1 รายการ(PO5802/008) โดยวิธีตกลงราคา [38,135]
15. ซื้อวัสดุการแพทย์  1 รายการ (P65802/015) โดยวิธีตกลงราคา [35,717]
16. ซื้อเวชภัณฑ์ยา จำนวน1รายการ (PO5802/017) โดยวิธีตกลงราคา [34,775]
17. ซื้อเวชภัณฑ์ยา 1 รายการ (P05802/058) โดยวิธีตกลงราคา [32,207]
18. ซื้อยาจำนวน 1 รายการ(PO5802/037) โดยวิธีตกลงราคา [25,038]
19. ซื้อวัสดุการแพทย์  1 รายการ (P65802/018) โดยวิธีตกลงราคา [18,326]
20. ซื้อวัสดุการแพทย์  2 รายการ (P65802/019) โดยวิธีตกลงราคา [15,300]
21. ซื้อวัสดุการแพทย์  1 รายการ (P65802/017) โดยวิธีตกลงราคา [15,300]
22. ซื้อวัสดุการแพทย์  1 รายการ (P65802/016) โดยวิธีตกลงราคา [15,300]
23. ซื้อยาจำนวน 1 รายการ(PO5802/013) โดยวิธีตกลงราคา [15,269]
24. ซื้อยาจำนวน 1 รายการ(PO5802/041) โดยวิธีตกลงราคา [11,850]
25. ซื้อยาจำนวน 1 รายการ(PO5802/042) โดยวิธีตกลงราคา [11,556]
26. ซื้อวัสดุการแพทย์  1 รายการ (P65802/022) โดยวิธีตกลงราคา [10,700]
27. ซื้อยาจำนวน 1 รายการ(PO5802/028) โดยวิธีตกลงราคา [9,694]
28. ซื้อเวชภัณฑ์ยา 1 รายการ (P55802/001) โดยวิธีตกลงราคา [9,502]
29. ซื้อยาจำนวน 1 รายการ(PO5802/012) โดยวิธีตกลงราคา [6,741]
30. ซื้อยาจำนวน 1 รายการ(PO5802/038) โดยวิธีตกลงราคา [6,099]</t>
        </is>
      </c>
      <c r="G7" s="5" t="inlineStr">
        <is>
          <t>C</t>
        </is>
      </c>
      <c r="H7" s="6" t="n"/>
      <c r="I7" s="6" t="n"/>
    </row>
    <row r="8">
      <c r="A8" s="5" t="inlineStr">
        <is>
          <t>2558-007</t>
        </is>
      </c>
      <c r="B8" s="5" t="inlineStr">
        <is>
          <t>pre (FY2015)</t>
        </is>
      </c>
      <c r="C8" s="5" t="inlineStr">
        <is>
          <t>กรมชลประทาน</t>
        </is>
      </c>
      <c r="D8" s="5" t="n">
        <v>10</v>
      </c>
      <c r="E8" s="5" t="n">
        <v>988450</v>
      </c>
      <c r="F8" s="5" t="inlineStr">
        <is>
          <t>1. ซื้ออะไหล่รถยนต์ ชป.022-1085  รวม  16  รายการ โดยวิธีตกลงราคา [100,000]
2. ซื้ออะไหล่รถยนต์  ชป.041-4185  รวม  17 รายการ โดยวิธีตกลงราคา [100,000]
3. ซื้ออะไหล่รถยนต์  ชป.042-0370  รวม 13 รายการ โดยวิธีตกลงราคา [100,000]
4. ซื้อกล่องใส่เอกสาร  และอื่นๆ  รวม  32  รายการ โดยวิธีตกลงราคา [99,700]
5. ซื้อเชือกฟาง และอื่น ๆ รวม 42 รายการ โดยวิธีตกลงราคา [99,650]
6. ซื้อถุงมือผ้าไนล่อน  และอื่นๆ  รวม  21  รายการ โดยวิธีตกลงราคา [99,250]
7. ซื้อเชือกป่าน (มนิลา) และอื่นๆ  รวม  23  รายการ โดยวิธีตกลงราคา [98,800]
8. ซื้อตะไบขนาด 12 นิ้ว และอื่น ๆ รวม  32  รายการ โดยวิธีตกลงราคา [98,350]
9. ซื้อลวดผูกเหล็กเบอร์ 18 และอื่น ๆ รวม  29  รายการ โดยวิธีตกลงราคา [96,700]
10. ซื้อพลั่วเหล็กปลายตัด และอื่น ๆ รวม  23  รายการ โดยวิธีตกลงราคา [96,000]</t>
        </is>
      </c>
      <c r="G8" s="5" t="inlineStr">
        <is>
          <t>A</t>
        </is>
      </c>
      <c r="H8" s="6" t="n"/>
      <c r="I8" s="6" t="n"/>
    </row>
    <row r="9">
      <c r="A9" s="5" t="inlineStr">
        <is>
          <t>2558-008</t>
        </is>
      </c>
      <c r="B9" s="5" t="inlineStr">
        <is>
          <t>pre (FY2015)</t>
        </is>
      </c>
      <c r="C9" s="5" t="inlineStr">
        <is>
          <t>กรุงเทพมหานคร</t>
        </is>
      </c>
      <c r="D9" s="5" t="n">
        <v>2</v>
      </c>
      <c r="E9" s="5" t="n">
        <v>522866</v>
      </c>
      <c r="F9" s="5" t="inlineStr">
        <is>
          <t>1. สอบราคาซื้อSalbutamol sulfate 100 mcg./puff inhaler (200 doses) [428,000]
2. ซื้อเวชภัณฑ์ 1 รายการ โดยวิธีตกลงราคา [94,866]</t>
        </is>
      </c>
      <c r="G9" s="5" t="inlineStr">
        <is>
          <t>B</t>
        </is>
      </c>
      <c r="H9" s="6" t="n"/>
      <c r="I9" s="6" t="n"/>
    </row>
    <row r="10">
      <c r="A10" s="5" t="inlineStr">
        <is>
          <t>2558-009</t>
        </is>
      </c>
      <c r="B10" s="5" t="inlineStr">
        <is>
          <t>pre (FY2015)</t>
        </is>
      </c>
      <c r="C10" s="5" t="inlineStr">
        <is>
          <t>กรมชลประทาน</t>
        </is>
      </c>
      <c r="D10" s="5" t="n">
        <v>11</v>
      </c>
      <c r="E10" s="5" t="n">
        <v>670785</v>
      </c>
      <c r="F10" s="5" t="inlineStr">
        <is>
          <t>1. ซื้อบุ้งกี๋พลาสติกและอื่น ๆ โดยวิธีตกลงราคา [99,555]
2. ซื้อสายยางและอื่น ๆ โดยวิธีตกลงราคา [98,605]
3. ซื้อสายยางและอื่น ๆ โดยวิธีตกลงราคา [66,465]
4. ซื้อสายยางและอื่น ๆ โดยวิธีตกลงราคา [64,740]
5. ซื้อสายยางพลาสติกและอื่น ๆ โดยวิธีตกลงราคา [59,715]
6. ซื้อสายยางพลาสติกและอื่น ๆ โดยวิธีตกลงราคา [59,715]
7. ซื้อสายยางพลาสติกและอื่น ๆ โดยวิธีตกลงราคา [57,995]
8. ซื้อสายยางและอื่น ๆ โดยวิธีตกลงราคา [56,535]
9. ซื้อสายยางพลาสติกและอื่น ๆ โดยวิธีตกลงราคา [56,135]
10. ซื้อไม้กวาดดอกหญ้าและอื่น ๆ โดยวิธีตกลงราคา [32,300]
11. ซื้อถุงมือยางและอื่น ๆ โดยวิธีตกลงราคา [19,025]</t>
        </is>
      </c>
      <c r="G10" s="5" t="inlineStr">
        <is>
          <t>A</t>
        </is>
      </c>
      <c r="H10" s="6" t="n"/>
      <c r="I10" s="6" t="n"/>
    </row>
    <row r="11">
      <c r="A11" s="5" t="inlineStr">
        <is>
          <t>2558-010</t>
        </is>
      </c>
      <c r="B11" s="5" t="inlineStr">
        <is>
          <t>pre (FY2015)</t>
        </is>
      </c>
      <c r="C11" s="5" t="inlineStr">
        <is>
          <t>องค์การบริหารส่วนตำบลห้วยโจด</t>
        </is>
      </c>
      <c r="D11" s="5" t="n">
        <v>9</v>
      </c>
      <c r="E11" s="5" t="n">
        <v>840000</v>
      </c>
      <c r="F11" s="5" t="inlineStr">
        <is>
          <t>1. จ้างขยายเขตประปา คุ้มหนองกุง-ไปหนองไฮ บ้านเสาสูง หมู่ที่ 5 ตำบลห้วยโจด อำเภอวัฒนานคร จังหวัดสระแก้ว โดยวิธีตกลงราคา [99,000]
2. จ้างวางท่อระบายน้ำถนนกลางหมู่บ้าน บ้านบ่อนางชิง  หมู่ที่ 4  ตำบลห้วยโจด อำเภอวัฒนานคร จังหวัดสระแก้ว โดยวิธีตกลงราคา [99,000]
3. จ้างซ่อมแซมถนนลูกรังทั้งหมู่บ้าน บ้านห้วยโจด หมู่ที่ 1 ตำบลห้วยโจด อำเภอวัฒนานคร จังหวัดสระแก้ว โดยวิธีตกลงราคา [99,000]
4. จ้างซ่อมแซมถนนลูกรังทั้งหมู่บ้าน บ้านบ่อนางชิง หมู่ที่4 ตำบลห้วยโจด อำเภอวัฒนานคร จังหวัดสระแก้ว โดยวิธีตกลงราคา [99,000]
5. จ้างซ่อมแซมถนนลูกรังทั้งหมู่บ้าน บ้านคลองยาง  หมู่ที่ 3  ตำบลห้วยโจด อำเภอวัฒนานคร จังหวัดสระแก้ว โดยวิธีตกลงราคา [96,000]
6. จ้างซ่อมแซมถนนลูกรังทั้งหมู่บ้าน บ้านน้อยสนามบิน หมู่ที่ 6 ตำบลห้วยโจด อำเภอวัฒนานคร จังหวัดสระแก้ว โดยวิธีตกลงราคา [96,000]
7. จ้างซ่อมแซมถนนลูกรังทั้งหมู่บ้าน บ้านหนองป่าหมาก  หมู่ที่ 2  ตำบลห้วยโจด อำเภอวัฒนานคร จังหวัดสระแก้ว โดยวิธีตกลงราคา [96,000]
8. จ้างซ่อมแซมถนนลูกรังทั้งหมู่บ้าน บ้านเสาสูง หมู่ที่5 ตำบลห้วยโจด อำเภอวัฒนานคร จังหวัดสระแก้ว โดยวิธีตกลงราคา [84,000]
9. จ้างซ่อมแซมถนนลูกรังทั้งหมู่บ้าน บ้านเนินพัฒนา หมู่ที่ 7  ตำบลห้วยโจด อำเภอวัฒนานคร จังหวัดสระแก้ว โดยวิธีตกลงราคา [72,000]</t>
        </is>
      </c>
      <c r="G11" s="5" t="inlineStr">
        <is>
          <t>A</t>
        </is>
      </c>
      <c r="H11" s="6" t="n"/>
      <c r="I11" s="6" t="n"/>
    </row>
    <row r="12">
      <c r="A12" s="5" t="inlineStr">
        <is>
          <t>2558-011</t>
        </is>
      </c>
      <c r="B12" s="5" t="inlineStr">
        <is>
          <t>pre (FY2015)</t>
        </is>
      </c>
      <c r="C12" s="5" t="inlineStr">
        <is>
          <t>เทศบาลตำบลทุ่งกระบือ</t>
        </is>
      </c>
      <c r="D12" s="5" t="n">
        <v>2</v>
      </c>
      <c r="E12" s="5" t="n">
        <v>506000</v>
      </c>
      <c r="F12" s="5" t="inlineStr">
        <is>
          <t>1. สอบราคาจ้างโครงการปรับปรุงซ่อมแซมระบบประปาหมู่บ้าน (งานปรับปรุงขยายเขตท่อเมนระบบประปา บ้านทุ่งตะเซะ หมู่ที่ ๙,  งานปรับปรุงขยายเขตท่อเมนระบบประปา บ้านทุ่งรวงทอง หมู่ที่ ๘) ตำบลทุ่งกระบือ  อำเภอย่านตาขาว จังหวัดตรัง รายละเอียดปริมาณงานตามรูปแบบรายการที่เทศบาลฯ กำหนด [263,000]
2. สอบราคาจ้างโครงการก่อสร้าง/ปรับปรุงระบบประปาหมู่บ้าน บ้านคลองปะเหลียน หมู่ที่ ๒ ตำบลทุ่งกระบือ  อำเภอย่านตาขาว จังหวัดตรัง รายละเอียดปริมาณงานตามรูปแบบรายการที่เทศบาลฯ กำหนด [243,000]</t>
        </is>
      </c>
      <c r="G12" s="5" t="inlineStr">
        <is>
          <t>A</t>
        </is>
      </c>
      <c r="H12" s="6" t="n"/>
      <c r="I12" s="6" t="n"/>
    </row>
    <row r="13">
      <c r="A13" s="5" t="inlineStr">
        <is>
          <t>2558-012</t>
        </is>
      </c>
      <c r="B13" s="5" t="inlineStr">
        <is>
          <t>pre (FY2015)</t>
        </is>
      </c>
      <c r="C13" s="5" t="inlineStr">
        <is>
          <t>การไฟฟ้าฝ่ายผลิตแห่งประเทศไทย</t>
        </is>
      </c>
      <c r="D13" s="5" t="n">
        <v>2</v>
      </c>
      <c r="E13" s="5" t="n">
        <v>619478</v>
      </c>
      <c r="F13" s="5" t="inlineStr">
        <is>
          <t>1. สอบราคาซื้อสายไฟฟ้าอุปกรณ์ จำนวน 6 รายการ (1000124043) [355,754]
2. สอบราคาซื้อสาย THW จำนวน 2 รายการ (1000127191) [263,725]</t>
        </is>
      </c>
      <c r="G13" s="5" t="inlineStr">
        <is>
          <t>A</t>
        </is>
      </c>
      <c r="H13" s="6" t="n"/>
      <c r="I13" s="6" t="n"/>
    </row>
    <row r="14">
      <c r="A14" s="5" t="inlineStr">
        <is>
          <t>2558-013</t>
        </is>
      </c>
      <c r="B14" s="5" t="inlineStr">
        <is>
          <t>pre (FY2015)</t>
        </is>
      </c>
      <c r="C14" s="5" t="inlineStr">
        <is>
          <t>องค์การบริหารส่วนตำบลดอนคา</t>
        </is>
      </c>
      <c r="D14" s="5" t="n">
        <v>4</v>
      </c>
      <c r="E14" s="5" t="n">
        <v>1160000</v>
      </c>
      <c r="F14" s="5" t="inlineStr">
        <is>
          <t>1. สอบราคาจ้างโครงการก่อสร้างท่อเหลี่ยมคอนกรีตเสริมเหล็ก ช่วงนานายธนารักษ์  ศาสตร์มี หมู่ที่ 5 [290,000]
2. สอบราคาจ้างโครงการก่อสร้างท่อเหลี่ยมคนกรีตเสริมเหล็ก ช่วงหนองตะกวด - หนองตะโก (จุดที่ 1) หมู่ที่ 1 [290,000]
3. สอบราคาจ้างโครงการก่อสร้างท่อเหลี่ยมคอนกรีตเสริมเหล็ก ช่วงทางเข้าเขาตีคลี (ฝั่งตะวันออก) หมู่ที่ 4 [290,000]
4. สอบราคาจ้างโครงการก่อสร้างท่อเหลี่ยมคนกรีตเสริมเหล็ก ช่วงหนองตะกวด - หนองตะโก (จุดที่ 2) หมู่ที่ 1 [290,000]</t>
        </is>
      </c>
      <c r="G14" s="5" t="inlineStr">
        <is>
          <t>A</t>
        </is>
      </c>
      <c r="H14" s="6" t="n"/>
      <c r="I14" s="6" t="n"/>
    </row>
    <row r="15">
      <c r="A15" s="5" t="inlineStr">
        <is>
          <t>2558-014</t>
        </is>
      </c>
      <c r="B15" s="5" t="inlineStr">
        <is>
          <t>pre (FY2015)</t>
        </is>
      </c>
      <c r="C15" s="5" t="inlineStr">
        <is>
          <t>องค์การบริหารส่วนตำบลคู้ยายหมี</t>
        </is>
      </c>
      <c r="D15" s="5" t="n">
        <v>3</v>
      </c>
      <c r="E15" s="5" t="n">
        <v>1061000</v>
      </c>
      <c r="F15" s="5" t="inlineStr">
        <is>
          <t>1. สอบราคาจ้างโครงการก่อสร้างศาลาประชาคมหมู่ที่10 บ้านอ่างทอง(บริเวณศาลาประชาคมเดิม)จำนวน 1 หลัง ตำบลคู้ยายหมี อำเภอสนามชัยเขต จังหวัดฉะเชิงเทรา [434,000]
2. สอบราคาจ้างโครงการก่อสร้างท่อลอดเหลี่ยม คสล.หมู่ที่ 13 บ้านโพธิ์ทอง บริเวณโรงน้ำแข็งทองสุวรรณ ตำบลคู้ยายหมี อำเภอสนามชัยเขต จังหวัดฉะเชิงเทรา [422,000]
3. สอบราคาจ้างโครงการก่อสร้างรั้วรอบศาลาอเนกประสงค์ หมู่ที่ 17 บ้านเนินทราย  ตำบลคู้ยายหมี อำเภอสนามชัยเขต จังหวัดฉะเชิงเทรา [205,000]</t>
        </is>
      </c>
      <c r="G15" s="5" t="inlineStr">
        <is>
          <t>B</t>
        </is>
      </c>
      <c r="H15" s="6" t="n"/>
      <c r="I15" s="6" t="n"/>
    </row>
    <row r="16">
      <c r="A16" s="5" t="inlineStr">
        <is>
          <t>2558-015</t>
        </is>
      </c>
      <c r="B16" s="5" t="inlineStr">
        <is>
          <t>pre (FY2015)</t>
        </is>
      </c>
      <c r="C16" s="5" t="inlineStr">
        <is>
          <t>โรงพยาบาลพะเยา</t>
        </is>
      </c>
      <c r="D16" s="5" t="n">
        <v>22</v>
      </c>
      <c r="E16" s="5" t="n">
        <v>1220025</v>
      </c>
      <c r="F16" s="5" t="inlineStr">
        <is>
          <t>1. ซื้อsodium hyaluronate 1 mg/1 mL eye drops (Vislube) (51.99.99.99 -670326) จำนวน 100 กล่องๆละ 60 หลอด โดยวิธีตกลงราคา [96,086]
2. ซื้อmetformin 850 mg + pioglitazone 15 mg film-coated tablet, 1 tablet (51.99.99.99 -230680) (Actos-Met Tab.) จำนวน 100 กล่องๆละ 28 เม็ด โดยวิธีตกลงราคา [94,802]
3. ซื้อalfuzosin 10 mg prolonged-release tablet, 1 tablet (51.99.99.99 -652046) (Xatral XL 10mg Tab.) จำนวน 120 กล่องๆละ 30 เม็ด โดยวิธีตกลงราคา [92,448]
4. ซื้อibandronic acid 150 mg film-coated tablet, 1 tablet (51.99.99.99 -204794) (Bonviva) จำนวน 70 เม็ด โดยวิธีตกลงราคา [90,254]
5. ซื้อtopiramate 50 mg film-coated tablet, 1 tablet (51.99.99.99 -460732) จำนวน 60 กล่องๆละ 60 เม็ด โดยวิธีตกลงราคา [90,089]
6. ซื้อtrimethazidine 35 mg modified-release tablet, 1 tablet (51.99.99.99 -368452) จำนวน 180 กล่องๆละ 60 เม็ด โดยวิธีตกลงราคา [87,248]
7. ซื้อleflunomide 20 mg film-coated tablet, 1 tablet (51.99.99.99 -205987) จำนวน 40 กล่องๆละ 30 เม็ด โดยวิธีตกลงราคา [82,604]
8. ซื้อgliclazide 60 mg modified-release tablet, 1 tablet (51.99.99.99 -309171) จำนวน 200 กล่องๆละ 30 เม็ด โดยวิธีตกลงราคา [76,184]
9. ซื้อcyproterone acetate 50 mg tablet, 1 tablet (51.99.99.99 -861962) จำนวน 30 กล่องๆละ 50 เม็ด โดยวิธีตกลงราคา [71,358]
10. ซื้อpropofol 10 mg/1 mL solution for injection, 20 mL ampoule (51.99.99.99 -576770) จำนวน 500 Amp. โดยวิธีตกลงราคา [50,825]
11. ซื้อleuprorelin acetate 3.75 mg powder for solution for injection, 1 vial (51.99.99.99 -206114) จำนวน 10 Vial. โดยวิธีตกลงราคา [49,958]
12. ซื้อferric hydroxide sucrose complex 20 mg/1 mL solution for injection, 5 mL ampoule (51.99.99.99 -841617) (Fe-Back 2%) จำนวน 150 amp โดยวิธีตกลงราคา [44,940]
13. ซื้อperindopril arginine 5 mg film-coated tablet, 1 tablet (51.99.99.99 -207995) จำนวน 150 กล่องๆละ 30 เม็ด โดยวิธีตกลงราคา [43,960]
14. ซื้อramipril 5 mg capsule, hard, 1 tablet (51.99.99.99 -208388) จำนวน 400 กล่องๆละ 30 เม็ด โดยวิธีตกลงราคา [43,400]
15. ซื้อhydroxyethyl starch 6 g/100 mL solution for infusion, 500 mL bottle (51.99.99.99 -764241) (Volulyte 500 ml) จำนวน 100 ขวด โดยวิธีตกลงราคา [41,730]
16. ซื้อsenna glycosides 7.5 mg tablet, 1 tablet (51.99.99.99 -687120) จำนวน 600 กล่องๆละ 60 เม็ด โดยวิธีตกลงราคา [38,520]
17. ซื้อbetahistine 12 mg tablet, 1 tablet (51.99.99.99 -259452) จำนวน 10 กล่องๆละ 1000 เม็ด โดยวิธีตกลงราคา [29,960]
18. ซื้อbupivacaine 5 mg/1 mL injection, 4 mL ampoule (51.99.99.99 -519668) จำนวน 40 กล่องๆละ 5 amp โดยวิธีตกลงราคา [26,750]
19. ซื้อamiodarone 200 mg tablet, 1 tablet (51.99.99.99 -521689) จำนวน 50 กล่องๆละ 30 เม็ด โดยวิธีตกลงราคา [25,680]
20. ซื้อtibolone 2.5 mg tablet, 1 tablet (51.99.99.99 -360746) (Livial 2.5 mg tab.) จำนวน 30 กล่องๆละ 28 เม็ด โดยวิธีตกลงราคา [22,823]
21. ซื้อลิโดเคนไฮโดรคลอไรด์ (51.14.29.37 ) (Xylocaine Jelly 30 gm) จำนวน 100 หลอด โดยวิธีตกลงราคา [13,375]
22. ซื้อsulprostone 500 mcg powder for solution for injection, 1 ampoule (51.99.99.99 -723350) จำนวน 3 กล่องๆละ 3 Amp. โดยวิธีตกลงราคา [7,030]</t>
        </is>
      </c>
      <c r="G16" s="5" t="inlineStr">
        <is>
          <t>B</t>
        </is>
      </c>
      <c r="H16" s="6" t="n"/>
      <c r="I16" s="6" t="n"/>
    </row>
    <row r="17">
      <c r="A17" s="5" t="inlineStr">
        <is>
          <t>2558-016</t>
        </is>
      </c>
      <c r="B17" s="5" t="inlineStr">
        <is>
          <t>pre (FY2015)</t>
        </is>
      </c>
      <c r="C17" s="5" t="inlineStr">
        <is>
          <t>องค์การบริหารส่วนตำบลพังเทียม</t>
        </is>
      </c>
      <c r="D17" s="5" t="n">
        <v>4</v>
      </c>
      <c r="E17" s="5" t="n">
        <v>841000</v>
      </c>
      <c r="F17" s="5" t="inlineStr">
        <is>
          <t>1. ประกวดราคาจ้างโครงการก่อสร้างถนนลาดยาง CAPE SEAL บ้านหัวทำนบ หมู่ที่ ๑๔ ตำบลพังเทียม อำเภอพระทองคำ จังหวัดนครราชสีมา ด้วยวิธีการทางอิเล็กทรอนิกส์ [360,000]
2. ประกวดราคาจ้างโครงการก่อสร้างถนนลาดยาง CAPE SEAL บ้านโนนไทรโยง หมู่ที่ ๑๗ ตำบลพังเทียม อำเภอพระทองคำ จังหวัดนครราชสีมา ด้วยวิธีการทางอิเล็กทรอนิกส์ [330,000]
3. ประกวดราคาจ้างโครงการก่อสร้างถนนคอนกรีตเสริมเหล็ก บ้านหัวถนน หมู่ที่ ๕ (ซอยบ้านนายสงัด) ตำบลพังเทียม อำเภอพระทองคำ จังหวัดนครราชสีมา ด้วยวิธีการทางอิเล็กทรอนิกส์ [100,000]
4. จ้างโครงการวางท่อคอนกรีตเสริมเหล็ก บ้านหนองแห้ว หมู่ที่ ๑๒ ตำบลพังเทียม อำเภอพระทองคำ จังหวัดนครราชสีมา โดยวิธีตกลงราคา [51,000]</t>
        </is>
      </c>
      <c r="G17" s="5" t="inlineStr">
        <is>
          <t>A</t>
        </is>
      </c>
      <c r="H17" s="6" t="n"/>
      <c r="I17" s="6" t="n"/>
    </row>
    <row r="18">
      <c r="A18" s="5" t="inlineStr">
        <is>
          <t>2558-017</t>
        </is>
      </c>
      <c r="B18" s="5" t="inlineStr">
        <is>
          <t>pre (FY2015)</t>
        </is>
      </c>
      <c r="C18" s="5" t="inlineStr">
        <is>
          <t>โรงพยาบาลธวัชบุรี</t>
        </is>
      </c>
      <c r="D18" s="5" t="n">
        <v>8</v>
      </c>
      <c r="E18" s="5" t="n">
        <v>591000</v>
      </c>
      <c r="F18" s="5" t="inlineStr">
        <is>
          <t>1. ซื้อวัสดุวิทยาศาสตร์การแพทย์ จำนวน ๕ รายการ โดยวิธีตกลงราคา [88,000]
2. ซื้อวัสดุวิทยาศาสตร์การแพทย์ จำนวน ๖ รายการ โดยวิธีตกลงราคา [86,100]
3. ซื้อวัสดุวิทยาศาสตร์การแพทย์ จำนวน ๗ รายการ โดยวิธีตกลงราคา [85,500]
4. ซื้อวัสดุวิทยาศาสตร์การแพทย์ จำนวน ๕ รายการ โดยวิธีตกลงราคา [78,000]
5. ซื้อวัสดุวิทยาศาสตร์การแพทย์ จำนวน ๒ รายการ โดยวิธีตกลงราคา [67,400]
6. ซื้อวัสดุวิทยาศาสตร์การแพทย์ จำนวน ๓ รายการ โดยวิธีตกลงราคา [66,400]
7. ซื้อวัสดุวิทยาศาสตร์การแพทย์ จำนวน ๒ รายการ โดยวิธีตกลงราคา [63,600]
8. ซื้อวัสดุวิทยาศาสตรการแพทย์ จำนวน ๑ รายการ โดยวิธีตกลงราคา [56,000]</t>
        </is>
      </c>
      <c r="G18" s="5" t="inlineStr">
        <is>
          <t>C</t>
        </is>
      </c>
      <c r="H18" s="6" t="n"/>
      <c r="I18" s="6" t="n"/>
    </row>
    <row r="19">
      <c r="A19" s="5" t="inlineStr">
        <is>
          <t>2558-018</t>
        </is>
      </c>
      <c r="B19" s="5" t="inlineStr">
        <is>
          <t>pre (FY2015)</t>
        </is>
      </c>
      <c r="C19" s="5" t="inlineStr">
        <is>
          <t>โรงพยาบาลราชบุรี</t>
        </is>
      </c>
      <c r="D19" s="5" t="n">
        <v>9</v>
      </c>
      <c r="E19" s="5" t="n">
        <v>664278</v>
      </c>
      <c r="F19" s="5" t="inlineStr">
        <is>
          <t>1. ซื้อABTLIFY  DISCMELT   15 MG.  (T58/1801) โดยวิธีตกลงราคา [96,300]
2. ซื้อProlia   60 mg/ml. (Denosumab) (S58/1761) โดยวิธีตกลงราคา [92,277]
3. ซื้อMucosta    100 mg.  (T58/1799) โดยวิธีตกลงราคา [86,991]
4. ซื้อActilyse   50 mg/vial (S58/1758) โดยวิธีตกลงราคา [83,460]
5. ซื้อSERC   24 MG. (T58/1804) โดยวิธีตกลงราคา [80,604]
6. ซื้อIMMUNINE   600 IU.  (S58/1755) โดยวิธีตกลงราคา [74,258]
7. ซื้อPletaal     100  mg. (T58/1800) โดยวิธีตกลงราคา [72,931]
8. ซื้อOliclinomel  N4   1500 ml. (S58/1760) โดยวิธีตกลงราคา [70,620]
9. ซื้อDermalon Blue 4-0 45 cm.C-13/CE-4(19mm.) (จักษุ-โสต) จำนวน 1 รายการ โดยวิธีตกลงราคา [6,837]</t>
        </is>
      </c>
      <c r="G19" s="5" t="inlineStr">
        <is>
          <t>B</t>
        </is>
      </c>
      <c r="H19" s="6" t="n"/>
      <c r="I19" s="6" t="n"/>
    </row>
    <row r="20">
      <c r="A20" s="5" t="inlineStr">
        <is>
          <t>2558-019</t>
        </is>
      </c>
      <c r="B20" s="5" t="inlineStr">
        <is>
          <t>pre (FY2015)</t>
        </is>
      </c>
      <c r="C20" s="5" t="inlineStr">
        <is>
          <t>โรงพยาบาลราชพิพัฒน์</t>
        </is>
      </c>
      <c r="D20" s="5" t="n">
        <v>4</v>
      </c>
      <c r="E20" s="5" t="n">
        <v>1133778</v>
      </c>
      <c r="F20" s="5" t="inlineStr">
        <is>
          <t>1. ซื้อลีริกา 150 มก. 56 เม็ด  จำนวน  138 กล่อง โดยวิธีพิเศษ [499,386]
2. ซื้อจานูเวีย (100 มก.) 28s  จำนวน 350 กล่อง โดยวิธีพิเศษ [444,906]
3. ซื้อนิวรอนติน เม็ด 600มก. 100เม็ด (ของแถม 1 กล่อง) โดยวิธีตกลงราคา [97,584]
4. ซื้อยา 3 รายการ โดยวิธีตกลงราคา [91,902]</t>
        </is>
      </c>
      <c r="G20" s="5" t="inlineStr">
        <is>
          <t>B</t>
        </is>
      </c>
      <c r="H20" s="6" t="n"/>
      <c r="I20" s="6" t="n"/>
    </row>
    <row r="21">
      <c r="A21" s="5" t="inlineStr">
        <is>
          <t>2558-020</t>
        </is>
      </c>
      <c r="B21" s="5" t="inlineStr">
        <is>
          <t>pre (FY2015)</t>
        </is>
      </c>
      <c r="C21" s="5" t="inlineStr">
        <is>
          <t>กองทัพอากาศ</t>
        </is>
      </c>
      <c r="D21" s="5" t="n">
        <v>3</v>
      </c>
      <c r="E21" s="5" t="n">
        <v>657387</v>
      </c>
      <c r="F21" s="5" t="inlineStr">
        <is>
          <t>1. สอบราคาจ้างซ่อมชิ้นส่วนรถบรรทุกเทท้าย HINO หมายเลขทะเบียนปีกกับดาว ๕๘๐๕๓ จำนวน ๑ คัน [259,582]
2. สอบราคาจ้างซ่อมชิ้นส่วนรถยกงาแซะ NISSAN หมายเลขทะเบียนปีกกับดาว ๕๘๐๒๗ จำนวน ๑ คัน [199,191]
3. สอบราคาจ้างซ่อมชิ้นส่วนรถยกงาแซะ NISSAN หมายเลขทะเบียนปีกกับดาว ๕๘๒๒๑ จำนวน ๑ คัน [198,613]</t>
        </is>
      </c>
      <c r="G21" s="5" t="inlineStr">
        <is>
          <t>A</t>
        </is>
      </c>
      <c r="H21" s="6" t="n"/>
      <c r="I21" s="6" t="n"/>
    </row>
    <row r="22">
      <c r="A22" s="5" t="inlineStr">
        <is>
          <t>2558-021</t>
        </is>
      </c>
      <c r="B22" s="5" t="inlineStr">
        <is>
          <t>pre (FY2015)</t>
        </is>
      </c>
      <c r="C22" s="5" t="inlineStr">
        <is>
          <t>โรงพยาบาลร้อยเอ็ด</t>
        </is>
      </c>
      <c r="D22" s="5" t="n">
        <v>10</v>
      </c>
      <c r="E22" s="5" t="n">
        <v>833316</v>
      </c>
      <c r="F22" s="5" t="inlineStr">
        <is>
          <t>1. ซื้อescitalopram 20 mg film-coated tablet, 1 tablet (51.99.99.99 -359649) โดยวิธีตกลงราคา [98,012]
2. ซื้อescitalopram 20 mg film-coated tablet, 1 tablet (51.99.99.99 -359649) โดยวิธีตกลงราคา [98,012]
3. ซื้อescitalopram 20 mg film-coated tablet, 1 tablet (51.99.99.99 -359649) โดยวิธีตกลงราคา [98,012]
4. ซื้อhuman serum albumin 20 g/100 mL solution for infusion, 50 mL bottle (51.99.99.99 -759940) โดยวิธีตกลงราคา [85,600]
5. ซื้อhuman serum albumin 20 g/100 mL solution for infusion, 50 mL bottle (51.99.99.99 -759940) โดยวิธีตกลงราคา [85,600]
6. ซื้อhuman serum albumin 20 g/100 mL solution for infusion, 50 mL bottle (51.99.99.99 -759940) โดยวิธีตกลงราคา [85,600]
7. ซื้อhuman serum albumin 20 g/100 mL solution for infusion, 50 mL bottle (51.99.99.99 -759940) โดยวิธีตกลงราคา [85,600]
8. ซื้อhuman serum albumin 20 g/100 mL solution for infusion, 50 mL bottle (51.99.99.99 -759940) โดยวิธีตกลงราคา [85,600]
9. ซื้อhuman serum albumin 20 g/100 mL solution for infusion, 50 mL bottle (51.99.99.99 -759940) โดยวิธีตกลงราคา [85,600]
10. ซื้อglucose 3 g + potassium chloride 230 mg + sodium chloride 530 mg + sodium citrate dihydrate 440 mg granules for oral solution, 1 sachet (51.99.99.99 -761502) โดยวิธีตกลงราคา [25,680]</t>
        </is>
      </c>
      <c r="G22" s="5" t="inlineStr">
        <is>
          <t>A</t>
        </is>
      </c>
      <c r="H22" s="6" t="n"/>
      <c r="I22" s="6" t="n"/>
    </row>
    <row r="23">
      <c r="A23" s="5" t="inlineStr">
        <is>
          <t>2558-022</t>
        </is>
      </c>
      <c r="B23" s="5" t="inlineStr">
        <is>
          <t>pre (FY2015)</t>
        </is>
      </c>
      <c r="C23" s="5" t="inlineStr">
        <is>
          <t>องค์การบริหารส่วนตำบลวังชะพลู</t>
        </is>
      </c>
      <c r="D23" s="5" t="n">
        <v>2</v>
      </c>
      <c r="E23" s="5" t="n">
        <v>866000</v>
      </c>
      <c r="F23" s="5" t="inlineStr">
        <is>
          <t>1. สอบราคาจ้างเหมาโครงการก่อสร้างถนนพูนดินลงลูกรังเกรดเกลี่ยเรียบบดอัดแน่น หมู่ที่ 18 บ้านเนินสำราญ [483,000]
2. สอบราคาจ้างเหมาโครงการก่อสร้างถนนพูนดินลงลูกรังเกรดเกลี่ยเรียบบดอัดแน่น หมู่ที่ 18 บ้านเนินสำราญ [383,000]</t>
        </is>
      </c>
      <c r="G23" s="5" t="inlineStr">
        <is>
          <t>A</t>
        </is>
      </c>
      <c r="H23" s="6" t="n"/>
      <c r="I23" s="6" t="n"/>
    </row>
    <row r="24">
      <c r="A24" s="5" t="inlineStr">
        <is>
          <t>2558-023</t>
        </is>
      </c>
      <c r="B24" s="5" t="inlineStr">
        <is>
          <t>pre (FY2015)</t>
        </is>
      </c>
      <c r="C24" s="5" t="inlineStr">
        <is>
          <t>สถาบันประสาทวิทยา</t>
        </is>
      </c>
      <c r="D24" s="5" t="n">
        <v>14</v>
      </c>
      <c r="E24" s="5" t="n">
        <v>932640</v>
      </c>
      <c r="F24" s="5" t="inlineStr">
        <is>
          <t>1. ซื้อTrajenta โดยวิธีตกลงราคา [99,450]
2. ซื้อBerodual forte (nebules) โดยวิธีตกลงราคา [99,296]
3. ซื้อStalevo 50 โดยวิธีตกลงราคา [97,638]
4. ซื้อDynastat โดยวิธีตกลงราคา [96,974]
5. ซื้อTienam Inj โดยวิธีตกลงราคา [96,300]
6. ซื้อNSS 100 ml โดยวิธีตกลงราคา [96,000]
7. ซื้อMicardis โดยวิธีตกลงราคา [74,215]
8. ซื้อInvanz 1 g โดยวิธีตกลงราคา [73,830]
9. ซื้อXyzal โดยวิธีตกลงราคา [58,336]
10. ซื้อPletaal powder 100 mg โดยวิธีตกลงราคา [46,438]
11. ซื้อCaduet โดยวิธีตกลงราคา [31,137]
12. ซื้อWater for Injection 1000 ml โดยวิธีตกลงราคา [29,000]
13. ซื้อOmnicef โดยวิธีตกลงราคา [23,968]
14. ซื้อSolcoseryl jelly โดยวิธีตกลงราคา [10,058]</t>
        </is>
      </c>
      <c r="G24" s="5" t="inlineStr">
        <is>
          <t>B</t>
        </is>
      </c>
      <c r="H24" s="6" t="n"/>
      <c r="I24" s="6" t="n"/>
    </row>
    <row r="25">
      <c r="A25" s="5" t="inlineStr">
        <is>
          <t>2558-024</t>
        </is>
      </c>
      <c r="B25" s="5" t="inlineStr">
        <is>
          <t>pre (FY2015)</t>
        </is>
      </c>
      <c r="C25" s="5" t="inlineStr">
        <is>
          <t>กองทัพเรือ</t>
        </is>
      </c>
      <c r="D25" s="5" t="n">
        <v>6</v>
      </c>
      <c r="E25" s="5" t="n">
        <v>555298</v>
      </c>
      <c r="F25" s="5" t="inlineStr">
        <is>
          <t>1. ซื้อIMPELLER สำหรับซ่อมทำเรือตรวจการณ์ชายฝั่ง ใน กปก.ทรภ.3 โดยวิธีตกลงราคา [99,959]
2. ซื้อBALL BEARING สำหรับซ่มทำเรือต่าง ๆ ใน กปก.ทรภ.3 โดยวิธีตกลงราคา [99,884]
3. ซื้อHEAT EXCHANGER สำหรับเครื่องไฟฟ้าของเรือใน กปก.ทรภ.3 โดยวิธีตกลงราคา [96,728]
4. ซื้ออะไหล่ซ่อมทำเครื่องไฟฟ้า หมายเลข 1 ของเรือ ต.214 โดยวิธีตกลงราคา [90,736]
5. ซื้อRAW WATER PUMP สำหรับเครื่องไฟฟ้า ตราอักษร MAN รุ่น D0836 LE 301 ของเรือ ต.993 โดยวิธีตกลงราคา [85,386]
6. ซื้ออะไหล่สำหรับซ่อมทำเครื่องไฟฟ้า ตราอักษร WESTERBEKE ของเรือใน กปก.ทรภ.3 โดยวิธีตกลงราคา [82,604]</t>
        </is>
      </c>
      <c r="G25" s="5" t="inlineStr">
        <is>
          <t>B</t>
        </is>
      </c>
      <c r="H25" s="6" t="n"/>
      <c r="I25" s="6" t="n"/>
    </row>
    <row r="26">
      <c r="A26" s="5" t="inlineStr">
        <is>
          <t>2558-025</t>
        </is>
      </c>
      <c r="B26" s="5" t="inlineStr">
        <is>
          <t>pre (FY2015)</t>
        </is>
      </c>
      <c r="C26" s="5" t="inlineStr">
        <is>
          <t>กรมชลประทาน</t>
        </is>
      </c>
      <c r="D26" s="5" t="n">
        <v>7</v>
      </c>
      <c r="E26" s="5" t="n">
        <v>604863</v>
      </c>
      <c r="F26" s="5" t="inlineStr">
        <is>
          <t>1. ซื้อตะปูตอกไม้ และอื่นๆ โดยวิธีตกลงราคา [97,465]
2. ซื้อลวดเสียบกระดาษ และอื่นๆ โดยวิธีตกลงราคา [95,545]
3. ซื้อน้ำยาเช็ดกระจก และอื่นๆ โดยวิธีตกลงราคา [92,444]
4. ซื้อหินเจียร์มอเตอร์ และอื่นๆ โดยวิธีตกลงราคา [92,410]
5. ซื้อแฟ้มสอดภาพ และอื่นๆ โดยวิธีตกลงราคา [90,205]
6. ซื้อท่อซีเมนต์และอื่นๆ โดยวิธีตกลงราคา [73,098]
7. ซื้อธงชาติผ้าร่ม และอื่นๆ โดยวิธีตกลงราคา [63,696]</t>
        </is>
      </c>
      <c r="G26" s="5" t="inlineStr">
        <is>
          <t>B</t>
        </is>
      </c>
      <c r="H26" s="6" t="n"/>
      <c r="I26" s="6" t="n"/>
    </row>
    <row r="27">
      <c r="A27" s="5" t="inlineStr">
        <is>
          <t>2558-026</t>
        </is>
      </c>
      <c r="B27" s="5" t="inlineStr">
        <is>
          <t>pre (FY2015)</t>
        </is>
      </c>
      <c r="C27" s="5" t="inlineStr">
        <is>
          <t>องค์การบริหารส่วนตำบลแม่เจดีย์ใหม่</t>
        </is>
      </c>
      <c r="D27" s="5" t="n">
        <v>5</v>
      </c>
      <c r="E27" s="5" t="n">
        <v>1128000</v>
      </c>
      <c r="F27" s="5" t="inlineStr">
        <is>
          <t>1. สอบราคาจ้างโครงการที่  7  ก่อสร้างปรับปรุงระบบประปา  บ้านแม่เจดีย์  หมู่ที่  3  ขุดสระกักเก็บน้ำ [392,000]
2. สอบราคาจ้างโครงการที่  5  ก่อสร้างสนามกีฬาเอนกประสงค์  บ้านห้วยม่วง หมู่ที่ 10 [324,000]
3. สอบราคาจ้างโครงการที่ 3  ก่อสร้างถังเก็บน้ำคอนกรีตเสริมเหล็ก บ้านห้วยชมภู หมู่ที่ 11 [198,000]
4. สอบราคาจ้างโครงการที่  6  ก่อสร้างเสริมท่อเหลี่ยม  คสล.  บ้านร้อง  หมู่ที่  2 [109,000]
5. สอบราคาจ้างโครงการที่  8  ปรับปรุงถนนและลานจอดรถฌาปนสถาน  บ้านโป่งป่าตอง  หมู่ที่  14 [105,000]</t>
        </is>
      </c>
      <c r="G27" s="5" t="inlineStr">
        <is>
          <t>B</t>
        </is>
      </c>
      <c r="H27" s="6" t="n"/>
      <c r="I27" s="6" t="n"/>
    </row>
    <row r="28">
      <c r="A28" s="5" t="inlineStr">
        <is>
          <t>2558-027</t>
        </is>
      </c>
      <c r="B28" s="5" t="inlineStr">
        <is>
          <t>pre (FY2015)</t>
        </is>
      </c>
      <c r="C28" s="5" t="inlineStr">
        <is>
          <t>การไฟฟ้าส่วนภูมิภาค</t>
        </is>
      </c>
      <c r="D28" s="5" t="n">
        <v>2</v>
      </c>
      <c r="E28" s="5" t="n">
        <v>534924</v>
      </c>
      <c r="F28" s="5" t="inlineStr">
        <is>
          <t>1. ซื้อพัสดุอุปกรณ์ จำนวน 4 รายการ โดยวิธีตกลงราคา [268,030]
2. ซื้อพัสดุอุปกรณ์ จำนวน 10 รายการ โดยวิธีตกลงราคา [266,894]</t>
        </is>
      </c>
      <c r="G28" s="5" t="inlineStr">
        <is>
          <t>C</t>
        </is>
      </c>
      <c r="H28" s="6" t="n"/>
      <c r="I28" s="6" t="n"/>
    </row>
    <row r="29">
      <c r="A29" s="5" t="inlineStr">
        <is>
          <t>2558-028</t>
        </is>
      </c>
      <c r="B29" s="5" t="inlineStr">
        <is>
          <t>pre (FY2015)</t>
        </is>
      </c>
      <c r="C29" s="5" t="inlineStr">
        <is>
          <t>มหาวิทยาลัยนเรศวร</t>
        </is>
      </c>
      <c r="D29" s="5" t="n">
        <v>6</v>
      </c>
      <c r="E29" s="5" t="n">
        <v>1172155</v>
      </c>
      <c r="F29" s="5" t="inlineStr">
        <is>
          <t>1. ซื้อเวชภัณฑ์ยา จำนวน 1 รายการ ของคณะแพทยศาสตร์ โดยวิธีตกลงราคา [299,814]
2. ซื้อเวชภัณฑ์มิใช่ยา  จำนวน  5 รายการ คณะแพทยศาสตร์ โดยวิธีตกลงราคา [297,192]
3. ซื้อเวชภัณฑ์ยา จำนวน 2 รายการ ของคณะแพทยศาสตร์ โดยวิธีตกลงราคา [248,799]
4. ซื้อเวชภัณฑ์มิใช่ยา  จำนวน  1 รายการ คณะแพทยศาสตร์ โดยวิธีตกลงราคา [160,500]
5. ซื้อเวชภัณฑ์มิใช่ยา  จำนวน  2 รายการ คณะแพทยศาสตร์ โดยวิธีตกลงราคา [160,072]
6. ซื้อเวชภัณฑ์ยา จำนวน 1 รายการ ของคณะแพทยศาสตร์ โดยวิธีตกลงราคา [5,778]</t>
        </is>
      </c>
      <c r="G29" s="5" t="inlineStr">
        <is>
          <t>C</t>
        </is>
      </c>
      <c r="H29" s="6" t="n"/>
      <c r="I29" s="6" t="n"/>
    </row>
    <row r="30">
      <c r="A30" s="5" t="inlineStr">
        <is>
          <t>2558-029</t>
        </is>
      </c>
      <c r="B30" s="5" t="inlineStr">
        <is>
          <t>pre (FY2015)</t>
        </is>
      </c>
      <c r="C30" s="5" t="inlineStr">
        <is>
          <t>กรมชลประทาน</t>
        </is>
      </c>
      <c r="D30" s="5" t="n">
        <v>3</v>
      </c>
      <c r="E30" s="5" t="n">
        <v>592221</v>
      </c>
      <c r="F30" s="5" t="inlineStr">
        <is>
          <t>1. สอบราคาซื้อเหล็กรูปพรรณ ฯลฯ [402,048]
2. สอบราคาซื้อเหล็กรูปพรรณ ฯลฯ [104,260]
3. ซื้อเหล็กแผ่นเรียบดำ ฯลฯ โดยวิธีตกลงราคา [85,913]</t>
        </is>
      </c>
      <c r="G30" s="5" t="inlineStr">
        <is>
          <t>A</t>
        </is>
      </c>
      <c r="H30" s="6" t="n"/>
      <c r="I30" s="6" t="n"/>
    </row>
    <row r="31">
      <c r="A31" s="5" t="inlineStr">
        <is>
          <t>2558-030</t>
        </is>
      </c>
      <c r="B31" s="5" t="inlineStr">
        <is>
          <t>pre (FY2015)</t>
        </is>
      </c>
      <c r="C31" s="5" t="inlineStr">
        <is>
          <t>โรงพยาบาลอุดรธานี</t>
        </is>
      </c>
      <c r="D31" s="5" t="n">
        <v>7</v>
      </c>
      <c r="E31" s="5" t="n">
        <v>596337</v>
      </c>
      <c r="F31" s="5" t="inlineStr">
        <is>
          <t>1. ซื้อinfiniti basic procedural pough 6Pc/Bx โดยวิธีตกลงราคา [97,584]
2. ซื้อวัสดุการแพทย์ห้องผ่าตัดจำนวน 5 รายการ โดยวิธีตกลงราคา [96,728]
3. ซื้อวัสดุการแพทย์ห้องผ่าตัด จำนวน 2 รายการ โดยวิธีตกลงราคา [95,979]
4. ซื้อวัสดุการแพทย์ห้องผ่าตัด จำนวน 2 รายการ โดยวิธีตกลงราคา [94,400]
5. ซื้อวัสดุการแพทย์ห้องผ่าตัด จำนวน 2 รายการ โดยวิธีตกลงราคา [94,160]
6. ซื้อวัสดุการแพทย์ห้องผ่าตัด จำนวน 4 รายการ โดยวิธีตกลงราคา [63,558]
7. ซื้อauto suture skin stapler 35w(6pc/bx) โดยวิธีตกลงราคา [53,928]</t>
        </is>
      </c>
      <c r="G31" s="5" t="inlineStr">
        <is>
          <t>C</t>
        </is>
      </c>
      <c r="H31" s="6" t="n"/>
      <c r="I31" s="6" t="n"/>
    </row>
    <row r="32">
      <c r="A32" s="5" t="inlineStr">
        <is>
          <t>2558-031</t>
        </is>
      </c>
      <c r="B32" s="5" t="inlineStr">
        <is>
          <t>pre (FY2015)</t>
        </is>
      </c>
      <c r="C32" s="5" t="inlineStr">
        <is>
          <t>องค์การเภสัชกรรม</t>
        </is>
      </c>
      <c r="D32" s="5" t="n">
        <v>5</v>
      </c>
      <c r="E32" s="5" t="n">
        <v>781100</v>
      </c>
      <c r="F32" s="5" t="inlineStr">
        <is>
          <t>1. จ้างAluminium foil สำหรับ Hydrochlorothiazide Tablets 50 mg (พิมพ์) จำนวน 50 ม้วน โดยวิธีตกลงราคา [163,175]
2. จ้างAluminium Foil สำหรับ Naproxen Tablets 250 mg (พิมพ์) จำนวน 50 ม้วน โดยวิธีตกลงราคา [163,175]
3. จ้างAluminium foil สำหรับ Hydrochlorothiazide Tablets 50 mg (ไม่พิมพ์) จำนวน 50 ม้วน โดยวิธีตกลงราคา [152,475]
4. จ้างAluminium foil สำหรับ Naproxen Tablets 250 mg (ไม่พิมพ์) จำนวน 50 ม้วน โดยวิธีตกลงราคา [152,475]
5. จ้างซองอะลูมิเนียมพับข้าง ขนาด 75x55x140 cm จำนวน 100,000 ซอง โดยวิธีตกลงราคา [149,800]</t>
        </is>
      </c>
      <c r="G32" s="5" t="inlineStr">
        <is>
          <t>A</t>
        </is>
      </c>
      <c r="H32" s="6" t="n"/>
      <c r="I32" s="6" t="n"/>
    </row>
    <row r="33">
      <c r="A33" s="5" t="inlineStr">
        <is>
          <t>2558-032</t>
        </is>
      </c>
      <c r="B33" s="5" t="inlineStr">
        <is>
          <t>pre (FY2015)</t>
        </is>
      </c>
      <c r="C33" s="5" t="inlineStr">
        <is>
          <t>การไฟฟ้าส่วนภูมิภาค</t>
        </is>
      </c>
      <c r="D33" s="5" t="n">
        <v>2</v>
      </c>
      <c r="E33" s="5" t="n">
        <v>518800</v>
      </c>
      <c r="F33" s="5" t="inlineStr">
        <is>
          <t>1. ซื้อผลิตภัณฑ์คอนกรีตขาดแคลน งบ คฟม. กฟจ.เชียงราย โดยวิธีตกลงราคา [263,200]
2. ซื้อผลิตภัณฑ์คอนกรีตขาดแคลน งบคฟม. 2557 กฟจ.เชียงราย (ชุดที่ 164/2557) โดยวิธีตกลงราคา [255,600]</t>
        </is>
      </c>
      <c r="G33" s="5" t="inlineStr">
        <is>
          <t>A</t>
        </is>
      </c>
      <c r="H33" s="6" t="n"/>
      <c r="I33" s="6" t="n"/>
    </row>
    <row r="34">
      <c r="A34" s="5" t="inlineStr">
        <is>
          <t>2558-033</t>
        </is>
      </c>
      <c r="B34" s="5" t="inlineStr">
        <is>
          <t>pre (FY2015)</t>
        </is>
      </c>
      <c r="C34" s="5" t="inlineStr">
        <is>
          <t>มหาวิทยาลัยนเรศวร</t>
        </is>
      </c>
      <c r="D34" s="5" t="n">
        <v>8</v>
      </c>
      <c r="E34" s="5" t="n">
        <v>1394818</v>
      </c>
      <c r="F34" s="5" t="inlineStr">
        <is>
          <t>1. ซื้อเวชภัณฑ์ยา จำนวน  1 รายการ ของคณะแพทยศาสตร์ โดยวิธีตกลงราคา [299,689]
2. ซื้อเวชภัณฑ์ยา จำนวน 1 รายการ ของคณะแพทยศาสตร์ โดยวิธีตกลงราคา [298,145]
3. ซื้อเวชภัณฑ์ยา จำนวน 2 รายการ ของคณะแพทยศาสตร์ โดยวิธีตกลงราคา [277,986]
4. ซื้อเวชภัณฑ์ยา จำนวน 1 รายการ ของคณะแพทยศาสตร์ โดยวิธีตกลงราคา [231,120]
5. ซื้อเวชภัณฑ์ยา จำนวน 1 รายการ ของคณะแพทยศาสตร์ โดยวิธีตกลงราคา [174,945]
6. ซื้อเวชภัณฑ์ยา จำนวน 1 รายการ ของคณะแพทยศาสตร์ โดยวิธีตกลงราคา [99,880]
7. ซื้อเวชภัณฑ์ยา จำนวน 1 รายการ ของคณะแพทยศาสตร์ โดยวิธีตกลงราคา [7,490]
8. ซื้อเวชภัณฑ์ยา จำนวน 1 รายการ ของคณะแพทยศาสตร์ โดยวิธีตกลงราคา [5,564]</t>
        </is>
      </c>
      <c r="G34" s="5" t="inlineStr">
        <is>
          <t>C</t>
        </is>
      </c>
      <c r="H34" s="6" t="n"/>
      <c r="I34" s="6" t="n"/>
    </row>
    <row r="35">
      <c r="A35" s="5" t="inlineStr">
        <is>
          <t>2558-034</t>
        </is>
      </c>
      <c r="B35" s="5" t="inlineStr">
        <is>
          <t>pre (FY2015)</t>
        </is>
      </c>
      <c r="C35" s="5" t="inlineStr">
        <is>
          <t>กรมชลประทาน</t>
        </is>
      </c>
      <c r="D35" s="5" t="n">
        <v>8</v>
      </c>
      <c r="E35" s="5" t="n">
        <v>1383569</v>
      </c>
      <c r="F35" s="5" t="inlineStr">
        <is>
          <t>1. สอบราคาซื้อเหล็กเส้นเสริมคอนกรีต : เหล็กเส้นกลมชั้นคุณภาพ SR๒๔ ขนาดต่างๆ [484,972]
2. สอบราคาซื้อเสากลมไม้เบญจพรรณ [408,357]
3. สอบราคาซื้อเหล็กเส้นเสริมคอนกรีต : เหล็กเส้นกลมชั้นคุณภาพ SR๒๔ ขนาดต่างๆ [180,559]
4. สอบราคาซื้อไม้แปรรูปสำหรับงานก่อสร้างทั่วไป ชนิดไม้เนื้ออ่อน ขนาดต่างๆ [91,530]
5. สอบราคาซื้อไม้แปรรูปสำหรับงานก่อสร้างทั่วไป ชนิดไม้เนื้ออ่อนขนาดต่างๆ [85,150]
6. ซื้อกระสอบพลาสติก โดยวิธีตกลงราคา [70,000]
7. ซื้อเสาเข็มคอนกรีตฯ โดยวิธีตกลงราคา [54,600]
8. ซื้อเสาเข็มคอนกรีตเสริมเหล็กฯ โดยวิธีตกลงราคา [8,400]</t>
        </is>
      </c>
      <c r="G35" s="5" t="inlineStr">
        <is>
          <t>A</t>
        </is>
      </c>
      <c r="H35" s="6" t="n"/>
      <c r="I35" s="6" t="n"/>
    </row>
    <row r="36">
      <c r="A36" s="5" t="inlineStr">
        <is>
          <t>2558-035</t>
        </is>
      </c>
      <c r="B36" s="5" t="inlineStr">
        <is>
          <t>pre (FY2015)</t>
        </is>
      </c>
      <c r="C36" s="5" t="inlineStr">
        <is>
          <t>องค์การบริหารส่วนตำบลคลองเปรง</t>
        </is>
      </c>
      <c r="D36" s="5" t="n">
        <v>2</v>
      </c>
      <c r="E36" s="5" t="n">
        <v>586000</v>
      </c>
      <c r="F36" s="5" t="inlineStr">
        <is>
          <t>1. สอบราคาจ้างโครงการลงหินคลุกพร้อมปรับเกลี่ยเรียบ ซอยสามัคคี 1,2,3 หมู่ที่ 7 [317,000]
2. สอบราคาจ้างโครงการลูกรังพร้อมยกระดับถนน ซอยมิตรสัมพันธ์ หมู่ที่ 6 (ประกาศครั้งที่ 2) [269,000]</t>
        </is>
      </c>
      <c r="G36" s="5" t="inlineStr">
        <is>
          <t>A</t>
        </is>
      </c>
      <c r="H36" s="6" t="n"/>
      <c r="I36" s="6" t="n"/>
    </row>
    <row r="37">
      <c r="A37" s="5" t="inlineStr">
        <is>
          <t>2558-036</t>
        </is>
      </c>
      <c r="B37" s="5" t="inlineStr">
        <is>
          <t>pre (FY2015)</t>
        </is>
      </c>
      <c r="C37" s="5" t="inlineStr">
        <is>
          <t>กองทัพเรือ</t>
        </is>
      </c>
      <c r="D37" s="5" t="n">
        <v>7</v>
      </c>
      <c r="E37" s="5" t="n">
        <v>573446</v>
      </c>
      <c r="F37" s="5" t="inlineStr">
        <is>
          <t>1. ซื้อพัสดุเพื่อการซ่อมทำ (ต.48/58) โดยวิธีตกลงราคา [97,169]
2. ซื้ออะไหล่ซ่อมทำระบบไฮดรอลิค ร.ล.มันนอก (ต.43/58) โดยวิธีตกลงราคา [94,690]
3. ซื้ออะไหล่เครื่องสูบน้ำซีล หมายเลข 1 และ 2 ร.ล.ปราบปรปักษ์ (ต.77/58) โดยวิธีตกลงราคา [92,400]
4. ซื้อพัสดุเพื่อการซ่อมทำ (ต.60/58) โดยวิธีตกลงราคา [92,171]
5. ซื้อพัสดุเพื่อการซ่อมทำ (ต.53/58) โดยวิธีตกลงราคา [70,356]
6. ซื้อพัสดุเพื่อการซ่อมทำ (ต.50/58) โดยวิธีตกลงราคา [69,755]
7. ซื้ออะไหล่ซ่อมทำรถกระเช้าไฟฟ้า และรถฟาร์มแทรคเตอร์ (ต.71/58) โดยวิธีตกลงราคา [56,905]</t>
        </is>
      </c>
      <c r="G37" s="5" t="inlineStr">
        <is>
          <t>C</t>
        </is>
      </c>
      <c r="H37" s="6" t="n"/>
      <c r="I37" s="6" t="n"/>
    </row>
    <row r="38">
      <c r="A38" s="5" t="inlineStr">
        <is>
          <t>2558-037</t>
        </is>
      </c>
      <c r="B38" s="5" t="inlineStr">
        <is>
          <t>pre (FY2015)</t>
        </is>
      </c>
      <c r="C38" s="5" t="inlineStr">
        <is>
          <t>กองบัญชาการกองทัพไทย</t>
        </is>
      </c>
      <c r="D38" s="5" t="n">
        <v>2</v>
      </c>
      <c r="E38" s="5" t="n">
        <v>516839</v>
      </c>
      <c r="F38" s="5" t="inlineStr">
        <is>
          <t>1. ซื้อเชื้อเพลิงดีเซล (15.10.15.05 ) โดยวิธีกรณีพิเศษ [275,219]
2. ซื้อเชื้อเพลิงดีเซล (15.10.15.05 ) โดยวิธีกรณีพิเศษ [241,620]</t>
        </is>
      </c>
      <c r="G38" s="5" t="inlineStr">
        <is>
          <t>A</t>
        </is>
      </c>
      <c r="H38" s="6" t="n"/>
      <c r="I38" s="6" t="n"/>
    </row>
    <row r="39">
      <c r="A39" s="5" t="inlineStr">
        <is>
          <t>2558-038</t>
        </is>
      </c>
      <c r="B39" s="5" t="inlineStr">
        <is>
          <t>pre (FY2015)</t>
        </is>
      </c>
      <c r="C39" s="5" t="inlineStr">
        <is>
          <t>โรงพยาบาลสุราษฎร์ธานี</t>
        </is>
      </c>
      <c r="D39" s="5" t="n">
        <v>7</v>
      </c>
      <c r="E39" s="5" t="n">
        <v>500632</v>
      </c>
      <c r="F39" s="5" t="inlineStr">
        <is>
          <t>1. ซื้อยา ATORVASTATIN 40 MG กล่องละ 30 เม็ด โดยวิธีตกลงราคา [97,370]
2. ซื้อยา NILOTINIB 200 MG กล่องละ 28 เม็ด โดยวิธีตกลงราคา [83,246]
3. ซื้อยา LACTATED RINGER SOLUTION SOFTBAG 1000 CC โดยวิธีตกลงราคา [73,188]
4. ซื้อยา CICLOSPORIN A MICROEMULSION 100 MG กล่องละ 50 เม็ด โดยวิธีตกลงราคา [69,529]
5. ซื้อยา JANUMET 50MG+1000 MG กล่องละ 56 เม็ด โดยวิธีตกลงราคา [68,908]
6. ซื้อยา IMATINIB MESYLATE 100 MG กล่องละ 60 เม็ด โดยวิธีตกลงราคา [54,891]
7. ซื้อยา INSULIN HUMAN PREMIXED PENFILL 3 ML โดยวิธีตกลงราคา [53,500]</t>
        </is>
      </c>
      <c r="G39" s="5" t="inlineStr">
        <is>
          <t>B</t>
        </is>
      </c>
      <c r="H39" s="6" t="n"/>
      <c r="I39" s="6" t="n"/>
    </row>
    <row r="40">
      <c r="A40" s="5" t="inlineStr">
        <is>
          <t>2558-039</t>
        </is>
      </c>
      <c r="B40" s="5" t="inlineStr">
        <is>
          <t>pre (FY2015)</t>
        </is>
      </c>
      <c r="C40" s="5" t="inlineStr">
        <is>
          <t>องค์การเภสัชกรรม</t>
        </is>
      </c>
      <c r="D40" s="5" t="n">
        <v>4</v>
      </c>
      <c r="E40" s="5" t="n">
        <v>1626400</v>
      </c>
      <c r="F40" s="5" t="inlineStr">
        <is>
          <t>1. จ้างเอกสารกำกับยา GPO-VIR Z250 Tablets จำนวน 400,000 ใบ โดยวิธีพิเศษ [406,600]
2. จ้างเอกสารกำกับยา GPO-VIR Z250 Tablets จำนวน 400,000 ใบ โดยวิธีพิเศษ [406,600]
3. จ้างเอกสารกำกับยา GPO-VIR Z250 Tablets จำนวน 400,000 ใบ โดยวิธีพิเศษ [406,600]
4. จ้างเอกสารกำกับยา GPO-VIR Z250 Tablets จำนวน 400,000 ใบ โดยวิธีพิเศษ [406,600]</t>
        </is>
      </c>
      <c r="G40" s="5" t="inlineStr">
        <is>
          <t>A</t>
        </is>
      </c>
      <c r="H40" s="6" t="n"/>
      <c r="I40" s="6" t="n"/>
    </row>
    <row r="41">
      <c r="A41" s="5" t="inlineStr">
        <is>
          <t>2558-040</t>
        </is>
      </c>
      <c r="B41" s="5" t="inlineStr">
        <is>
          <t>pre (FY2015)</t>
        </is>
      </c>
      <c r="C41" s="5" t="inlineStr">
        <is>
          <t>องค์การบริหารส่วนตำบลบ้านพริก</t>
        </is>
      </c>
      <c r="D41" s="5" t="n">
        <v>9</v>
      </c>
      <c r="E41" s="5" t="n">
        <v>1011500</v>
      </c>
      <c r="F41" s="5" t="inlineStr">
        <is>
          <t>1. สอบราคาจ้างโครงการซ่อมแซมผิวจราจรถนนลูกรัง(กลบหลุมบ่อ) หมู่ที่ 1 ตำบลบ้านพริก อำเภอบ้านนา จังหวัดนครนายก พร้อมติดตั้งป้ายประชาสัมพันธ์โครงการจำนวน 1 แผ่นป้าย รายละเอียดตามแบบแปลนองค์การบริหารส่วนตำบลบ้านพริก [253,000]
2. สอบราคาจ้างซ่อมแซมผิวจราจรถนนลูกรัง(กลบหลุมบ่อ)หมู่ที่7ตำบลบ้านพริกอำเภอบ้านนาจังหวัดนครนายกติดตั้งป้ายประชาสัมพันธ์โครงการจำนวน1แผ่นป้ายรายละเอียดตามแบบแปลนองค์การบริหารส่วนตำบลบ้านพริก [181,500]
3. สอบราคาจ้างซ่อมแซมผิวจราจรถนนลูกรัง(กลบหลุมบ่อ)หมู่ที่5ตำบลบ้านพริกอำเภอบ้านนาจังหวัดนครนายกติดตั้งป้ายประชาสัมพันธ์โครงการจำนวน1แผ่นป้ายรายละเอียดตามแบบแปลนองค์การบริหารส่วนตำบลบ้านพริก [144,000]
4. สอบราคาจ้างซ่อมแซมผิวจราจรถนนลูกรัง(กลบหลุมบ่อ)หมู่ที่11ตำบลบ้านพริกอำเภอบ้านนาจังหวัดรายละเอียดตามแบบแปลนองค์การบริหารส่วนตำบลบ้านพริกพร้อมติดตั้งป้ายประชาสัมพันธ์โครงการจำนวน1แผ่นป้าย [128,000]
5. สอบราคาจ้างโครงการซ่อมแซมผิวจราจรถนนลูกรัง(กลบหลุมบ่อ)  หมู่ที่ 4 ตำบลบ้านพริก อำเภอบ้านนา จังหวัดนครนายก  พร้อมติดตั้งป้ายประชาสัมพันธ์โครงการจำนวน 1 แผ่นป้าย รายละเอียดตามแบบแปลนองค์การบริหารส่วนตำบลบ้านพริก [127,500]
6. สอบราคาจ้างซ่อมแซมผิวจราจรถนนลูกรัง(กลบหลุมบ่อ)หมู่ที่12ตำบลบ้านพริกอำเภอบ้านนาจังหวัดพร้อมติดตั้งป้ายประชาสัมพันธ์โครงการจำนวน1แผ่นป้ายรายละเอียดตามแบบแปลนองค์การบริหารส่วนตำบลบ้านพริก [90,500]
7. สอบราคาจ้างโครงการซ่อมแซมผิวจราจรถนนลูกรัง(กลบหลุมบ่อ)ภายในหมู่บ้าน หมู่ที่ 2 ตำบลบ้านพริก อำเภอบ้านนา จังหวัดนครนายก  รายละเอียดตามแบบแปลนองค์การบริหารส่วนตำบลบ้านพริก [39,000]
8. สอบราคาจ้างโครงการซ่อมแซมผิวจราจรถนนลูกรัง(กลบหลุมบ่อ)ภายในหมู่บ้าน หมู่ที่ 6 ตำบลบ้านพริก อำเภอบ้านนา จังหวัดนครนายก   รายละเอียดตามแบบแปลนองค์การบริหารส่วนตำบลบ้านพริก [27,500]
9. สอบราคาจ้างโครงการซ่อมแซมผิวจราจรถนนลูกรัง(กลบหลุมบ่อ)ภายในหมู่บ้านหมู่ที่10ตำบลบ้านพริกอำเภอบ้านนา จังหวัดนครนายกรายละเอียดตามแบบแปลนองค์การบริหารส่วนตำบลบ้านพริก [20,500]</t>
        </is>
      </c>
      <c r="G41" s="5" t="inlineStr">
        <is>
          <t>A</t>
        </is>
      </c>
      <c r="H41" s="6" t="n"/>
      <c r="I41" s="6" t="n"/>
    </row>
    <row r="42">
      <c r="A42" s="5" t="inlineStr">
        <is>
          <t>2558-041</t>
        </is>
      </c>
      <c r="B42" s="5" t="inlineStr">
        <is>
          <t>pre (FY2015)</t>
        </is>
      </c>
      <c r="C42" s="5" t="inlineStr">
        <is>
          <t>กรมชลประทาน</t>
        </is>
      </c>
      <c r="D42" s="5" t="n">
        <v>4</v>
      </c>
      <c r="E42" s="5" t="n">
        <v>1014585</v>
      </c>
      <c r="F42" s="5" t="inlineStr">
        <is>
          <t>1.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จำนวน  ๙,๘๐๐  ลิตร โดยวิธีพิเศษ [273,910]
2.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จำนวน  ๑  รายการ โดยวิธีพิเศษ [268,320]
3.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 จำนวน  ๘,๘๐๐  ลิตร โดยวิธีพิเศษ [245,960]
4.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จำนวน  ๘,๑๐๐  ลิตร โดยวิธีพิเศษ [226,395]</t>
        </is>
      </c>
      <c r="G42" s="5" t="inlineStr">
        <is>
          <t>A</t>
        </is>
      </c>
      <c r="H42" s="6" t="n"/>
      <c r="I42" s="6" t="n"/>
    </row>
    <row r="43">
      <c r="A43" s="5" t="inlineStr">
        <is>
          <t>2558-042</t>
        </is>
      </c>
      <c r="B43" s="5" t="inlineStr">
        <is>
          <t>pre (FY2015)</t>
        </is>
      </c>
      <c r="C43" s="5" t="inlineStr">
        <is>
          <t>กรมชลประทาน</t>
        </is>
      </c>
      <c r="D43" s="5" t="n">
        <v>7</v>
      </c>
      <c r="E43" s="5" t="n">
        <v>1018490</v>
      </c>
      <c r="F43" s="5" t="inlineStr">
        <is>
          <t>1. ซื้อน้ำมันดีเซลสำหรับเครื่องยนต์หมุนเร็ว ตาม มอก.1267-2544 โดยวิธีพิเศษ [243,270]
2. ซื้อน้ำมันดีเซลสำหรับเครื่องยนต์หมุนเร็ว ตาม มอก.1267-2544 โดยวิธีพิเศษ [243,270]
3. ซื้อน้ำมันดีเซลสำหรับเครื่องยนต์หมุนเร็ว ตาม มอก.๑๒๖๗-๒๕๔๔ โดยวิธีพิเศษ [191,372]
4. ซื้อน้ำมันดีเซลสำหรับเครื่องยนต์หมุนเร็ว ตาม มอก.1267-2544 โดยวิธีพิเศษ [108,120]
5. ซื้อน้ำมันดีเซลสำหรับเครื่องยนต์หมุนเร็ว ตาม มอก.๑๒๖๗-๒๕๔๔ โดยวิธีตกลงราคา [91,902]
6. ซื้อน้ำมันดีเซลสำหรับเครื่องยนต์หมุนเร็ว ตาม มอก.๑๒๖๗-๒๕๔๔ โดยวิธีตกลงราคา [81,090]
7. ซื้อน้ำมันดีเซลสำหรับเครื่องยนต์หมุนเร็ว ตาม มอก.๑๒๖๗-๒๕๔๔ โดยวิธีตกลงราคา [59,466]</t>
        </is>
      </c>
      <c r="G43" s="5" t="inlineStr">
        <is>
          <t>A</t>
        </is>
      </c>
      <c r="H43" s="6" t="n"/>
      <c r="I43" s="6" t="n"/>
    </row>
    <row r="44">
      <c r="A44" s="5" t="inlineStr">
        <is>
          <t>2558-043</t>
        </is>
      </c>
      <c r="B44" s="5" t="inlineStr">
        <is>
          <t>pre (FY2015)</t>
        </is>
      </c>
      <c r="C44" s="5" t="inlineStr">
        <is>
          <t>องค์การบริหารส่วนตำบลวังยาว</t>
        </is>
      </c>
      <c r="D44" s="5" t="n">
        <v>2</v>
      </c>
      <c r="E44" s="5" t="n">
        <v>547600</v>
      </c>
      <c r="F44" s="5" t="inlineStr">
        <is>
          <t>1. สอบราคาจ้างโครงการก่อสร้างถนนคอนกรีตเสริมเหล็กภายในหมู่บ้าน หมู่ที่ 6 บ้านห้วยหินดำ [440,000]
2. สอบราคาจ้างโครงการก่อสร้างถนนคอนกรีตเสริมเหล็กภายในหมู่บ้าน หมู่ที่ 8 บ้านใหม่วังยาว [107,600]</t>
        </is>
      </c>
      <c r="G44" s="5" t="inlineStr">
        <is>
          <t>A</t>
        </is>
      </c>
      <c r="H44" s="6" t="n"/>
      <c r="I44" s="6" t="n"/>
    </row>
    <row r="45">
      <c r="A45" s="5" t="inlineStr">
        <is>
          <t>2558-044</t>
        </is>
      </c>
      <c r="B45" s="5" t="inlineStr">
        <is>
          <t>pre (FY2015)</t>
        </is>
      </c>
      <c r="C45" s="5" t="inlineStr">
        <is>
          <t>เทศบาลตำบลท่าเรือ</t>
        </is>
      </c>
      <c r="D45" s="5" t="n">
        <v>2</v>
      </c>
      <c r="E45" s="5" t="n">
        <v>517000</v>
      </c>
      <c r="F45" s="5" t="inlineStr">
        <is>
          <t>1. สอบราคาจ้างจ้างเหมาปูยางแอสฟัลท์ติกคอนกรีต ถนนเทศบาล 3 [347,000]
2. สอบราคาจ้างก่อสร้างศาลพระภูมิ บริเวณหน้าสำนักงานเทศบาลตำบลท่าเรือ [170,000]</t>
        </is>
      </c>
      <c r="G45" s="5" t="inlineStr">
        <is>
          <t>B</t>
        </is>
      </c>
      <c r="H45" s="6" t="n"/>
      <c r="I45" s="6" t="n"/>
    </row>
    <row r="46">
      <c r="A46" s="5" t="inlineStr">
        <is>
          <t>2558-045</t>
        </is>
      </c>
      <c r="B46" s="5" t="inlineStr">
        <is>
          <t>pre (FY2015)</t>
        </is>
      </c>
      <c r="C46" s="5" t="inlineStr">
        <is>
          <t>โรงพยาบาลราชบุรี</t>
        </is>
      </c>
      <c r="D46" s="5" t="n">
        <v>8</v>
      </c>
      <c r="E46" s="5" t="n">
        <v>545588</v>
      </c>
      <c r="F46" s="5" t="inlineStr">
        <is>
          <t>1. ซื้อInvega   6 mg.  (T58/1379) โดยวิธีตกลงราคา [96,166]
2. ซื้อReminyl   8 mg.  (T58/1378) โดยวิธีตกลงราคา [94,930]
3. ซื้อForteo   600 mcg./2.4 ml. inj. (S58/1351) โดยวิธีตกลงราคา [91,485]
4. ซื้อAvastin   100 mg/4 ml. inj. (S58/1356) โดยวิธีตกลงราคา [90,950]
5. ซื้อFosfomycin   4 gm. inj. (10 vial/box)  (S58/1353) โดยวิธีตกลงราคา [75,328]
6. ซื้อ3.0 MM.CLEAR CUT SLIT KNIFE 6 S (จักษุ-โสต) จำนวน 1 รายการ โดยวิธีตกลงราคา [44,940]
7. ซื้อเวชภัณฑ์ที่มิใช่ยา (สำหรับเข้าคลัง) จำนวน 3 รายการ โดยวิธีตกลงราคา [37,236]
8. ซื้อเวชภัณฑ์ที่มิใช่ยา(สำหรับเข้าคลัง) จำนวน 2  รายการ โดยวิธีตกลงราคา [14,552]</t>
        </is>
      </c>
      <c r="G46" s="5" t="inlineStr">
        <is>
          <t>B</t>
        </is>
      </c>
      <c r="H46" s="6" t="n"/>
      <c r="I46" s="6" t="n"/>
    </row>
    <row r="47">
      <c r="A47" s="5" t="inlineStr">
        <is>
          <t>2558-046</t>
        </is>
      </c>
      <c r="B47" s="5" t="inlineStr">
        <is>
          <t>pre (FY2015)</t>
        </is>
      </c>
      <c r="C47" s="5" t="inlineStr">
        <is>
          <t>โรงพยาบาลราชพิพัฒน์</t>
        </is>
      </c>
      <c r="D47" s="5" t="n">
        <v>6</v>
      </c>
      <c r="E47" s="5" t="n">
        <v>545957</v>
      </c>
      <c r="F47" s="5" t="inlineStr">
        <is>
          <t>1. ซื้อนิวรอนติน เม็ด 600 มก. 100 เม็ด โดยวิธีตกลงราคา [97,584]
2. ซื้อกัลวัส 50 มก 4x14เม็ด โดยวิธีตกลงราคา [97,584]
3. ซื้อเม็พติน 50 ไมโครกรัม 100เม็ด โดยวิธีตกลงราคา [96,300]
4. ซื้อซานโมซิน 2 ml โดยวิธีตกลงราคา [95,958]
5. ซื้อคิวแรม 1000มก. กล่องละ 12 เม็ด โดยวิธีตกลงราคา [85,600]
6. ซื้อPLETAAL 100MG โดยวิธีตกลงราคา [72,931]</t>
        </is>
      </c>
      <c r="G47" s="5" t="inlineStr">
        <is>
          <t>B</t>
        </is>
      </c>
      <c r="H47" s="6" t="n"/>
      <c r="I47" s="6" t="n"/>
    </row>
    <row r="48">
      <c r="A48" s="5" t="inlineStr">
        <is>
          <t>2558-047</t>
        </is>
      </c>
      <c r="B48" s="5" t="inlineStr">
        <is>
          <t>pre (FY2015)</t>
        </is>
      </c>
      <c r="C48" s="5" t="inlineStr">
        <is>
          <t>องค์การบริหารส่วนจังหวัดอุบลราชธานี</t>
        </is>
      </c>
      <c r="D48" s="5" t="n">
        <v>3</v>
      </c>
      <c r="E48" s="5" t="n">
        <v>599000</v>
      </c>
      <c r="F48" s="5" t="inlineStr">
        <is>
          <t>1. ประกวดราคาจ้างซ่อมแซมอาคารเรียน ให้กับโรงเรียนห้วยข้าพิทยาคม  ต.ห้วยข่า  อ.บุณฑริก  จ.อุบลราชธานี ด้วยวิธีการทางอิเล็กทรอนิกส์ [200,000]
2. ประกวดราคาจ้างซ่อมแซมอาคารเรียน ให้กับโรงเรียนไร่ใต้ประชาคม  ต.ไร่ใต้  อ.พิบูลมังสาหาร  จ.อุบลราชธานี ด้วยวิธีการทางอิเล็กทรอนิกส์ [199,500]
3. ประกวดราคาจ้างซ่อมแซมอาคารเรียน ให้กับโรงเรียนแก้งเหนือพิทยาคม  ต.แก้งเหนือ  อ.เขมราฐ  จ.อุบลราชธานี ด้วยวิธีการทางอิเล็กทรอนิกส์ [199,500]</t>
        </is>
      </c>
      <c r="G48" s="5" t="inlineStr">
        <is>
          <t>A</t>
        </is>
      </c>
      <c r="H48" s="6" t="n"/>
      <c r="I48" s="6" t="n"/>
    </row>
    <row r="49">
      <c r="A49" s="5" t="inlineStr">
        <is>
          <t>2558-048</t>
        </is>
      </c>
      <c r="B49" s="5" t="inlineStr">
        <is>
          <t>pre (FY2015)</t>
        </is>
      </c>
      <c r="C49" s="5" t="inlineStr">
        <is>
          <t>โรงพยาบาลร้อยเอ็ด</t>
        </is>
      </c>
      <c r="D49" s="5" t="n">
        <v>20</v>
      </c>
      <c r="E49" s="5" t="n">
        <v>1584863</v>
      </c>
      <c r="F49" s="5" t="inlineStr">
        <is>
          <t>1. ซื้อเวชภัณฑ์ยา Sevoflurane ๒๕๐ ml/ ๑ ขวด โดยวิธีตกลงราคา [98,066]
2. ซื้อเวชภัณฑ์ยา Sevoflurane ๒๕๐ ml/ ๑ ขวด โดยวิธีตกลงราคา [98,066]
3. ซื้อเวชภัณฑ์ยา  Triptorelin Pamoate ๑๑.๒๕ mg inj/๑ vial โดยวิธีตกลงราคา [96,814]
4. ซื้อเวชภัณฑ์ยา  Acyclovir ๒๕๐ mg iv infusion / ๕ vials โดยวิธีตกลงราคา [96,300]
5. ซื้อเวชภัณฑ์ยา Hydrocortisone ๑๐๐ mg/ml inj/๑๐ vials โดยวิธีตกลงราคา [96,300]
6. ซื้อเวชภัณฑ์ยา  Azithromycin ๕๐๐ mg inj / ๑ vial โดยวิธีตกลงราคา [95,872]
7. ซื้อเวชภัณฑ์ยา Levetiracetam ๕๐๐ mg Tablet / ๖๐ เม็ด โดยวิธีตกลงราคา [95,337]
8. ซื้อเวชภัณฑ์ยา Levetiracetam ๕๐๐ mg Tablet/๖๐ เม็ด โดยวิธีตกลงราคา [95,337]
9. ซื้อเวชภัณฑ์ยา Entacapone ๒๐๐ mg.Tab / ๑๐๐ เม็ด โดยวิธีตกลงราคา [93,625]
10. ซื้อเวชภัณฑ์ยา  Dutasteride ๐.๕ mg cap / ๓๐ เม็ด โดยวิธีตกลงราคา [90,629]
11. ซื้อเวชภัณฑ์ยา   Dutasteride ๐.๕ mg cap/ ๓๐ เม็ด โดยวิธีตกลงราคา [90,629]
12. ซื้อเวชภัณฑ์ยา Dutasteride ๐.๕ mg cap/ ๓๐ เม็ด โดยวิธีตกลงราคา [90,629]
13. ซื้อไหมเย็บไม่ละลายชนิดสังเคราะห์ เบอร์ 3/0  75  cm. 24 mm. (Dermaron ) โดยวิธีตกลงราคา [87,312]
14. ซื้อเวชภัณฑ์ยา  Rebamipide ๑๐๐ mg tablet / ๑๐๐ เม็ด โดยวิธีตกลงราคา [86,991]
15. ซื้อเวชภัณฑ์ยา Cilostazol ๕๐ mg. Tab / ๑๐๐ เม็ด โดยวิธีตกลงราคา [83,888]
16. ซื้อวัสดุการแพทย์ คือ ท่อเจาะคอ Tracheotomy Tube No.7.5 จำนวน 120 ชิ้น โดยวิธีตกลงราคา [64,200]
17. ซื้อcarbamazepine 200 mg tablet, 1 tablet (51.99.99.99 -246895) โดยวิธีตกลงราคา [51,360]
18. ซื้อเวชภัณฑ์ยา  Itopride Hydrochloride ๕๐ mg / ๖๐ เม็ด โดยวิธีตกลงราคา [48,599]
19. ซื้อdesmopressin 4 mcg/1 mL solution for injection, 1 mL ampoule (51.99.99.99 -555617) โดยวิธีตกลงราคา [13,910]
20. ซื้อวัสดุการแพทย์ Inter Locking nail  จำนวน ๑ ชิ้น  ผ่าตัด นายสัมฤทธิ์  สนามเหล่า โดยวิธีตกลงราคา [11,000]</t>
        </is>
      </c>
      <c r="G49" s="5" t="inlineStr">
        <is>
          <t>A</t>
        </is>
      </c>
      <c r="H49" s="6" t="n"/>
      <c r="I49" s="6" t="n"/>
    </row>
    <row r="50">
      <c r="A50" s="5" t="inlineStr">
        <is>
          <t>2558-049</t>
        </is>
      </c>
      <c r="B50" s="5" t="inlineStr">
        <is>
          <t>pre (FY2015)</t>
        </is>
      </c>
      <c r="C50" s="5" t="inlineStr">
        <is>
          <t>เทศบาลตำบลบางระกำเมืองใหม่</t>
        </is>
      </c>
      <c r="D50" s="5" t="n">
        <v>3</v>
      </c>
      <c r="E50" s="5" t="n">
        <v>742346</v>
      </c>
      <c r="F50" s="5" t="inlineStr">
        <is>
          <t>1. สอบราคาจ้างก่อสร้างถนนคอนกรีตเสริมเหล็ก สายบ้านนายโกมินทร์ จากบ้านนายโกมินทร์ ถึงบ้านนางสิน ผาสุก หมู่ที่ ๑๒ บ้านหนองเขาควาย ตำบลบางระกำ อำเภอบางระกำ จังหวัดพิษณุโลก [321,000]
2. สอบราคาจ้างก่อสร้างถนนคอนกรีตเสริมเหล็ก สายไร่พลู จากบ้านนายสงวน สายจันทร์ ถึงบ้านนายเสมือน สระทองเมือง หมู่ที่ ๑๒ บ้านหนองเขาควาย ตำบลบางระกำ อำเภอบางระกำ จังหวัดพิษณุโลก [212,000]
3. สอบราคาจ้างก่อสร้างถนนคอนกรีตเสริมเหล็ก สายหน้าวัดโพธิ์ทอง จากบ้านนางวัชรี มีสิงห์ ถึงนานางวารี น่วมแหยม หมู่ที่ ๑๒ บ้านหนองเขาควาย ตำบลบางระกำ อำเภอบางระกำ จังหวัดพิษณุโลก [209,346]</t>
        </is>
      </c>
      <c r="G50" s="5" t="inlineStr">
        <is>
          <t>A</t>
        </is>
      </c>
      <c r="H50" s="6" t="n"/>
      <c r="I50" s="6" t="n"/>
    </row>
    <row r="51">
      <c r="A51" s="5" t="inlineStr">
        <is>
          <t>2558-050</t>
        </is>
      </c>
      <c r="B51" s="5" t="inlineStr">
        <is>
          <t>pre (FY2015)</t>
        </is>
      </c>
      <c r="C51" s="5" t="inlineStr">
        <is>
          <t>โรงพยาบาลธรรมศาสตร์เฉลิมพระเกียรติ</t>
        </is>
      </c>
      <c r="D51" s="5" t="n">
        <v>11</v>
      </c>
      <c r="E51" s="5" t="n">
        <v>1946129</v>
      </c>
      <c r="F51" s="5" t="inlineStr">
        <is>
          <t>1. ซื้อยา(ภ.1181-2558) โดยวิธีตกลงราคา [394,573]
2. ซื้อยา(ภ.1182-2558) โดยวิธีตกลงราคา [385,243]
3. ซื้อยา(ภ.1184-2558) โดยวิธีตกลงราคา [333,840]
4. ซื้อยา(ภ.1185-2558) โดยวิธีตกลงราคา [325,943]
5. ซื้อยา(ภ.1186-2558) โดยวิธีตกลงราคา [227,375]
6. ซื้อยา(ภ.1187-2558) โดยวิธีตกลงราคา [186,000]
7. ซื้อวัสดุวิทยาศาตร์และการแพทย์ จำนวน 6 รายการ โดยวิธีตกลงราคา [36,915]
8. ซื้อยา(ภ.1190-2558) โดยวิธีตกลงราคา [29,960]
9. ซื้อวัสดุวิทยาศาตร์หรือการแพทย์ จำนวน 3 รายการ โดยวิธีตกลงราคา [10,914]
10. ซื้อยา(ภ.1192-2558) โดยวิธีตกลงราคา [8,731]
11. ซื้อวัสดุวิทยาศาตร์และการแพทย์ จำนวน 2 รายการ โดยวิธีตกลงราคา [6,634]</t>
        </is>
      </c>
      <c r="G51" s="5" t="inlineStr">
        <is>
          <t>C</t>
        </is>
      </c>
      <c r="H51" s="6" t="n"/>
      <c r="I51" s="6" t="n"/>
    </row>
    <row r="52">
      <c r="A52" s="5" t="inlineStr">
        <is>
          <t>2558-051</t>
        </is>
      </c>
      <c r="B52" s="5" t="inlineStr">
        <is>
          <t>pre (FY2015)</t>
        </is>
      </c>
      <c r="C52" s="5" t="inlineStr">
        <is>
          <t>โรงพยาบาลพิจิตร</t>
        </is>
      </c>
      <c r="D52" s="5" t="n">
        <v>9</v>
      </c>
      <c r="E52" s="5" t="n">
        <v>649447</v>
      </c>
      <c r="F52" s="5" t="inlineStr">
        <is>
          <t>1. สอบราคาซื้อเครื่องควบคุมการให้สารละลายทางหลอดเลือดโดยอัตโนมัติ (INFUSION PUMP) จำนวน 2 เครื่อง ด้วยเงินของศูนย์แพทยศาสตรศึกษาชั้นคลินิกโรงพยาบาลพิจิตร [159,965]
2. ซื้อวัสดุการแพทย์ (เวชภัณฑ์ที่มิใช่ยา) จำนวน  1 รายการ โดยวิธีตกลงราคา [93,646]
3. ซื้อวัสดุการแพทย์ (เวชภัณฑ์ที่มิใช่ยา) จำนวน  1 รายการ โดยวิธีตกลงราคา [93,625]
4. ซื้อวัสดุการแพทย์(นอกคลังการแพทย์) จำนวน 1 รายการ โดยวิธีตกลงราคา [93,304]
5. ซื้อวัสดุการแพทย์ (เวชภัณฑ์ที่มิใช่ยา) จำนวน  1 รายการ โดยวิธีตกลงราคา [84,744]
6. ซื้อวัสดุการแพทย์ (คลังการแพทย์) จำนวน 2 รายการ โดยวิธีตกลงราคา [79,180]
7. ซื้อวัสดุการแพทย์ (คลังการแพทย์) จำนวน 1 รายการ โดยวิธีตกลงราคา [20,865]
8. ซื้อวัสดุการแพทย์ (คลังการแพทย์)  จำนวน  1 รายการ โดยวิธีตกลงราคา [18,725]
9. ซื้อวัสดุการแพทย์ (คลังการแพทย์) จำนวน 1 รายการ โดยวิธีตกลงราคา [5,393]</t>
        </is>
      </c>
      <c r="G52" s="5" t="inlineStr">
        <is>
          <t>C</t>
        </is>
      </c>
      <c r="H52" s="6" t="n"/>
      <c r="I52" s="6" t="n"/>
    </row>
    <row r="53">
      <c r="A53" s="5" t="inlineStr">
        <is>
          <t>2558-052</t>
        </is>
      </c>
      <c r="B53" s="5" t="inlineStr">
        <is>
          <t>pre (FY2015)</t>
        </is>
      </c>
      <c r="C53" s="5" t="inlineStr">
        <is>
          <t>องค์การบริหารส่วนตำบลนาดี</t>
        </is>
      </c>
      <c r="D53" s="5" t="n">
        <v>3</v>
      </c>
      <c r="E53" s="5" t="n">
        <v>601000</v>
      </c>
      <c r="F53" s="5" t="inlineStr">
        <is>
          <t>1. สอบราคาจ้างขยายผิจราจรถนนคอนกรีตเสริมเหล็ก บ้านม่วงน้อย(สายทางไปห้วยข้าวสาร) หมู่ที่  2 [203,000]
2. สอบราคาจ้างก่อสร้างถนนคอนกรีตเสริมเหล็กภายในหมู่บ้าน บ้านหนองแปน(ซอยคุ้มทุ่งนาโพธิ์) หมู่ที่  9 [200,000]
3. สอบราคาจ้างก่อสร้างถนนคอนกรีตเสริมเหล็กภายในหมู่บ้าน บ้านม่วงน้อย (ซอยอยู่ดีมีสุข) หมู่ 2 [198,000]</t>
        </is>
      </c>
      <c r="G53" s="5" t="inlineStr">
        <is>
          <t>A</t>
        </is>
      </c>
      <c r="H53" s="6" t="n"/>
      <c r="I53" s="6" t="n"/>
    </row>
    <row r="54">
      <c r="A54" s="5" t="inlineStr">
        <is>
          <t>2558-053</t>
        </is>
      </c>
      <c r="B54" s="5" t="inlineStr">
        <is>
          <t>pre (FY2015)</t>
        </is>
      </c>
      <c r="C54" s="5" t="inlineStr">
        <is>
          <t>องค์การบริหารส่วนตำบลหนองยาง</t>
        </is>
      </c>
      <c r="D54" s="5" t="n">
        <v>3</v>
      </c>
      <c r="E54" s="5" t="n">
        <v>659000</v>
      </c>
      <c r="F54" s="5" t="inlineStr">
        <is>
          <t>1. สอบราคาจ้างโครงการก่อสร้างถนนคอนกรีตเสริมเหล็ก ซอยสามชอ หมู่ที่ 10 บ้านโคกสามัคคี [222,000]
2. สอบราคาจ้างโครงการก่อสร้างถนนคอนกรีตเสริมเหล็ก ซอยสะเดาหวาน หมู่ที่ 5 บ้านตะกุดเวียน [220,000]
3. สอบราคาจ้างโครงการก่อสร้างถนนคอนกรีตเสริมเหล็ก ซอยทรายทอง หมู่ที่ 1 บ้านหนองยาง [217,000]</t>
        </is>
      </c>
      <c r="G54" s="5" t="inlineStr">
        <is>
          <t>A</t>
        </is>
      </c>
      <c r="H54" s="6" t="n"/>
      <c r="I54" s="6" t="n"/>
    </row>
    <row r="55">
      <c r="A55" s="5" t="inlineStr">
        <is>
          <t>2558-054</t>
        </is>
      </c>
      <c r="B55" s="5" t="inlineStr">
        <is>
          <t>pre (FY2015)</t>
        </is>
      </c>
      <c r="C55" s="5" t="inlineStr">
        <is>
          <t>โรงพยาบาลมหาราชนครศรีธรรมราช</t>
        </is>
      </c>
      <c r="D55" s="5" t="n">
        <v>14</v>
      </c>
      <c r="E55" s="5" t="n">
        <v>915863</v>
      </c>
      <c r="F55" s="5" t="inlineStr">
        <is>
          <t>1. ซื้อXarator 40 mg/tab จำนวน 133x30 tab โดยวิธีตกลงราคา [99,617]
2. ซื้อExjade 250 mg/tab จำนวน 7x28 tab โดยวิธีตกลงราคา [98,494]
3. ซื้อExelon pacth 9 mg จำนวน 25x30 patch โดยวิธีตกลงราคา [97,638]
4. ซื้อPregabalin cap 75 mg/cap จำนวน 40x56 cap โดยวิธีตกลงราคา [96,300]
5. ซื้อCampto CS 40 mg/2ml inj. จำนวน 45x1 vial โดยวิธีตกลงราคา [96,300]
6. ซื้อNicardipine HCL 2 mg/2 ml จำนวน 100x10 amp โดยวิธีตกลงราคา [92,555]
7. ซื้อAzathioprine 50 mg/tab จำนวน 100x100 tab โดยวิธีตกลงราคา [90,950]
8. ซื้อExjade 250 mg/tab จำนวน 24x28 tab โดยวิธีตกลงราคา [84,423]
9. ซื้อJanumet tab(50/500) จำนวน 54x56 tab โดยวิธีตกลงราคา [68,908]
10. ซื้อSolifenacin 10 mg/tab จำนวน 30x30 tab โดยวิธีตกลงราคา [43,335]
11. ซื้อSterile gel 4 g/ซอง จำนวน 2800x1 ซอง โดยวิธีตกลงราคา [14,980]
12. ซื้อAbilify 10 mg/tab จำนวน 3x30 tab โดยวิธีตกลงราคา [14,301]
13. ซื้อFirmagon 80 mg/6ml inj. จำนวน 2x1 vial โดยวิธีตกลงราคา [11,965]
14. ซื้อMinirin nasal spray 0.1 mg/ml x2.5 ml จำนวน 5x1 bott โดยวิธีตกลงราคา [6,099]</t>
        </is>
      </c>
      <c r="G55" s="5" t="inlineStr">
        <is>
          <t>A</t>
        </is>
      </c>
      <c r="H55" s="6" t="n"/>
      <c r="I55" s="6" t="n"/>
    </row>
    <row r="56">
      <c r="A56" s="5" t="inlineStr">
        <is>
          <t>2558-055</t>
        </is>
      </c>
      <c r="B56" s="5" t="inlineStr">
        <is>
          <t>pre (FY2015)</t>
        </is>
      </c>
      <c r="C56" s="5" t="inlineStr">
        <is>
          <t>โรงพยาบาลสิงห์บุรี</t>
        </is>
      </c>
      <c r="D56" s="5" t="n">
        <v>13</v>
      </c>
      <c r="E56" s="5" t="n">
        <v>663647</v>
      </c>
      <c r="F56" s="5" t="inlineStr">
        <is>
          <t>1. ซื้อpiperacillin 4 gm+tazobactam 500 mg inj โดยวิธีตกลงราคา [89,880]
2. ซื้อcelecoxib cap 200 mg โดยวิธีตกลงราคา [88,211]
3. ซื้อtigecycline 50 mg inj โดยวิธีตกลงราคา [83,888]
4. ซื้อatorvastatin 40 mg tab โดยวิธีตกลงราคา [83,460]
5. ซื้อfluticasone furoate 27.5 uq 1 bot โดยวิธีตกลงราคา [72,225]
6. ซื้อphenytoin extended cap 100 mg โดยวิธีตกลงราคา [52,484]
7. ซื้อlevocetirizine dihcl 5 mg โดยวิธีตกลงราคา [43,752]
8. ซื้อnicergoline 10 mg tab โดยวิธีตกลงราคา [36,915]
9. ซื้อsertraline hydrochloride 50 mg tab โดยวิธีตกลงราคา [34,240]
10. ซื้อamoxycillin+clavulanic acid tab 1 gm โดยวิธีตกลงราคา [26,750]
11. ซื้อparicoxib inj 40 mg (dynastat) โดยวิธีตกลงราคา [25,520]
12. ซื้อazithromycin oral susp 2 gm โดยวิธีตกลงราคา [16,960]
13. ซื้อamoxycilln+clavulanic 457mg/5ml syr โดยวิธีตกลงราคา [9,362]</t>
        </is>
      </c>
      <c r="G56" s="5" t="inlineStr">
        <is>
          <t>B</t>
        </is>
      </c>
      <c r="H56" s="6" t="n"/>
      <c r="I56" s="6" t="n"/>
    </row>
    <row r="57">
      <c r="A57" s="5" t="inlineStr">
        <is>
          <t>2558-056</t>
        </is>
      </c>
      <c r="B57" s="5" t="inlineStr">
        <is>
          <t>pre (FY2015)</t>
        </is>
      </c>
      <c r="C57" s="5" t="inlineStr">
        <is>
          <t>องค์การบริหารส่วนจังหวัดจันทบุรี</t>
        </is>
      </c>
      <c r="D57" s="5" t="n">
        <v>2</v>
      </c>
      <c r="E57" s="5" t="n">
        <v>600000</v>
      </c>
      <c r="F57" s="5" t="inlineStr">
        <is>
          <t>1. จ้างเหมาจัดหาพลุแสงสีเสียง, ประดับตกแต่งไฟฟ้าแสงสว่าง เวทีประดิษฐานพระบรมสาทิสลักษณ์ และบริเวณพิธีจุดเทียนชัยถวายพระพร ชัยมงคล โดยวิธีพิเศษ [500,000]
2. จ้างเหมาจัดหาพลุแสงสีเสียง โดยวิธีตกลงราคา [100,000]</t>
        </is>
      </c>
      <c r="G57" s="5" t="inlineStr">
        <is>
          <t>A</t>
        </is>
      </c>
      <c r="H57" s="6" t="n"/>
      <c r="I57" s="6" t="n"/>
    </row>
    <row r="58">
      <c r="A58" s="5" t="inlineStr">
        <is>
          <t>2558-057</t>
        </is>
      </c>
      <c r="B58" s="5" t="inlineStr">
        <is>
          <t>pre (FY2015)</t>
        </is>
      </c>
      <c r="C58" s="5" t="inlineStr">
        <is>
          <t>องค์การบริหารส่วนตำบลศาลาลัย</t>
        </is>
      </c>
      <c r="D58" s="5" t="n">
        <v>4</v>
      </c>
      <c r="E58" s="5" t="n">
        <v>1674600</v>
      </c>
      <c r="F58" s="5" t="inlineStr">
        <is>
          <t>1. ประกวดราคาจ้างก่อสร้างถนนลาดยางแคปซีล เนินกรวด สาย 6 บ้านเนินกรวด ด้วยวิธีการทางอิเล็กทรอนิกส์ [499,000]
2. ประกวดราคาจ้างก่อสร้างถนนคอนกรีตเสริมเหล็ก สายศาลาลัย-เกาะนาน้อย หมู่ที่ 7 บ้านต้นไทร ด้วยวิธีการทางอิเล็กทรอนิกส์ [486,600]
3. ประกวดราคาจ้างซ่อมแซมถนนลาดยางแอสฟัลท์ติกคอนกรีต สายศาลาลัย-หนองเจ็กเม้ง (ช่วง รพ.สต.ทุ่งเคล็ด) หมู่ที่ 2 บ้านทุ่งเคล็ด ด้วยวิธีการทางอิเล็กทรอนิกส์ [391,000]
4. ประกวดราคาจ้างก่อสร้างถนนลาดยางแคปซีล สายหนองไพรวัลย์ (สายบ้านนายลิฟท์ วงศ์สังข์) หมู่ที่ 6 บ้านหนองไพรวัลย์ ด้วยวิธีการทางอิเล็กทรอนิกส์ [298,000]</t>
        </is>
      </c>
      <c r="G58" s="5" t="inlineStr">
        <is>
          <t>A</t>
        </is>
      </c>
      <c r="H58" s="6" t="n"/>
      <c r="I58" s="6" t="n"/>
    </row>
    <row r="59">
      <c r="A59" s="5" t="inlineStr">
        <is>
          <t>2558-058</t>
        </is>
      </c>
      <c r="B59" s="5" t="inlineStr">
        <is>
          <t>pre (FY2015)</t>
        </is>
      </c>
      <c r="C59" s="5" t="inlineStr">
        <is>
          <t>กรมส่งเสริมการเกษตร</t>
        </is>
      </c>
      <c r="D59" s="5" t="n">
        <v>2</v>
      </c>
      <c r="E59" s="5" t="n">
        <v>731250</v>
      </c>
      <c r="F59" s="5" t="inlineStr">
        <is>
          <t>1. สอบราคาซื้อวัสดุการเกษตรโครงการบูรณาการการผลิตสินค้าเกษตรปลอดภัยปี ๒๕๕๘ [449,650]
2. สอบราคาซื้อวัสดุการเกษตรโครงการบูรณาการการผลิตสินค้าเกษตรปลอดภัย ปี ๒๕๕๘ [281,600]</t>
        </is>
      </c>
      <c r="G59" s="5" t="inlineStr">
        <is>
          <t>A</t>
        </is>
      </c>
      <c r="H59" s="6" t="n"/>
      <c r="I59" s="6" t="n"/>
    </row>
    <row r="60">
      <c r="A60" s="5" t="inlineStr">
        <is>
          <t>2558-059</t>
        </is>
      </c>
      <c r="B60" s="5" t="inlineStr">
        <is>
          <t>pre (FY2015)</t>
        </is>
      </c>
      <c r="C60" s="5" t="inlineStr">
        <is>
          <t>โรงพยาบาลมหาสารคาม</t>
        </is>
      </c>
      <c r="D60" s="5" t="n">
        <v>14</v>
      </c>
      <c r="E60" s="5" t="n">
        <v>957988</v>
      </c>
      <c r="F60" s="5" t="inlineStr">
        <is>
          <t>1. ซื้อBLOOD BAG,QUADIBLE 450 CC. (4/กล่อง) จำนวน 240 ใบ โดยวิธีตกลงราคา [97,584]
2. ซื้อsodium hyaluronate 1.8 mg/1 mL eye drops, solution, 1 mL ampoule (51.99.99.99 -850102) โดยวิธีตกลงราคา [96,086]
3. ซื้อgalantamine 8 mg prolonged-release capsule, hard, 1 capsule (51.99.99.99 -425048) โดยวิธีตกลงราคา [94,935]
4. ซื้อSYRINGE DISP 10.0 CC. (100/กล่อง)(ส) จำนวน 500 กล่อง โดยวิธีตกลงราคา [93,090]
5. ซื้อsodium valproate 200 mg gastro-resistant tablet, 1 tablet (51.99.99.99 -644552) โดยวิธีตกลงราคา [88,810]
6. ซื้อน้ำยาตรวจ NAT จำนวน 40 เทสต์ โดยวิธีตกลงราคา [88,320]
7. ซื้อวัสดุวิทยาศาสตร์แล็ป Hb Alc (150 เทสต์)(ส) จำนวน 900 เทสต์ โดยวิธีตกลงราคา [86,670]
8. ซื้อวัสดุการแพทย์ ELECTROD DISPOS (2239) (50/ซอง)(ICU) จำนวน 100 ซอง โดยวิธีตกลงราคา [69,550]
9. ซื้อsodium fusidate 250 mg film-coated tablet, 1 tablet (51.99.99.99 -734415) โดยวิธีตกลงราคา [56,175]
10. ซื้อTEGARERM SILVER MESH 4*5 นิ้ว(ยานอก/ใน) จำนวน 50 กล่อง โดยวิธีตกลงราคา [53,500]
11. ซื้อวัสดุการแพทย์ 2 รายการ จำนวน25 กล่อง โดยวิธีตกลงราคา [51,092]
12. ซื้อpilocarpine 2 g/100 mL eye drops, solution, 15 mL bottle (51.99.99.99 -522432) โดยวิธีตกลงราคา [32,100]
13. ซื้อpolygeline 3.5 g/100 mL solution for infusion, 500 mL bottle (51.99.99.99 -776633) โดยวิธีตกลงราคา [27,820]
14. ซื้อkonakion 2mg/0.2 ml injection (vitamin k1) โดยวิธีตกลงราคา [22,256]</t>
        </is>
      </c>
      <c r="G60" s="5" t="inlineStr">
        <is>
          <t>B</t>
        </is>
      </c>
      <c r="H60" s="6" t="n"/>
      <c r="I60" s="6" t="n"/>
    </row>
    <row r="61">
      <c r="A61" s="5" t="inlineStr">
        <is>
          <t>2558-060</t>
        </is>
      </c>
      <c r="B61" s="5" t="inlineStr">
        <is>
          <t>pre (FY2015)</t>
        </is>
      </c>
      <c r="C61" s="5" t="inlineStr">
        <is>
          <t>องค์การบริหารส่วนตำบลกล้วยกว้าง</t>
        </is>
      </c>
      <c r="D61" s="5" t="n">
        <v>2</v>
      </c>
      <c r="E61" s="5" t="n">
        <v>610000</v>
      </c>
      <c r="F61" s="5" t="inlineStr">
        <is>
          <t>1. สอบราคาจ้างก่อสร้างถนนคอนกรีตเสริมเหล็ก เริ่มต้นบ้านบุยาว หมู่ที่ 2 ทางไปเทศบาลตำบลโคกจาน อ.อุทุมพรพิสัย  จ.ศรีสะเกษ [495,000]
2. สอบราคาจ้างก่อสร้างถนนคอนกรีตเสริมเหล็ก เริ่มต้นบ้านนางฝาง  สังข์ขาว สิ้นสุด บ้านนางแสงเดือน แท่งทอง  บ้านขามใหญ่ หมู่ที่ 4 [115,000]</t>
        </is>
      </c>
      <c r="G61" s="5" t="inlineStr">
        <is>
          <t>A</t>
        </is>
      </c>
      <c r="H61" s="6" t="n"/>
      <c r="I61" s="6" t="n"/>
    </row>
    <row r="62">
      <c r="A62" s="5" t="inlineStr">
        <is>
          <t>2558-061</t>
        </is>
      </c>
      <c r="B62" s="5" t="inlineStr">
        <is>
          <t>pre (FY2015)</t>
        </is>
      </c>
      <c r="C62" s="5" t="inlineStr">
        <is>
          <t>องค์การบริหารส่วนตำบลภูกระดึง</t>
        </is>
      </c>
      <c r="D62" s="5" t="n">
        <v>2</v>
      </c>
      <c r="E62" s="5" t="n">
        <v>500319</v>
      </c>
      <c r="F62" s="5" t="inlineStr">
        <is>
          <t>1. ซื้ออาหารเสริม(นม) โดยวิธีกรณีพิเศษ [460,215]
2. ซื้ออาหารเสริม (นม) โดยวิธีกรณีพิเศษ [40,104]</t>
        </is>
      </c>
      <c r="G62" s="5" t="inlineStr">
        <is>
          <t>A</t>
        </is>
      </c>
      <c r="H62" s="6" t="n"/>
      <c r="I62" s="6" t="n"/>
    </row>
    <row r="63">
      <c r="A63" s="5" t="inlineStr">
        <is>
          <t>2558-062</t>
        </is>
      </c>
      <c r="B63" s="5" t="inlineStr">
        <is>
          <t>pre (FY2015)</t>
        </is>
      </c>
      <c r="C63" s="5" t="inlineStr">
        <is>
          <t>โรงพยาบาลอุตรดิตถ์</t>
        </is>
      </c>
      <c r="D63" s="5" t="n">
        <v>10</v>
      </c>
      <c r="E63" s="5" t="n">
        <v>572396</v>
      </c>
      <c r="F63" s="5" t="inlineStr">
        <is>
          <t>1. ซื้อยา Cetuximab-5mg/ml-20ml (51.99.99.99 -551695) โดยวิธีตกลงราคา [98,440]
2. ซื้อยา Brinzolamide eye susp.-1%-5ml (51.99.99.99 -525679) และ Betaxolol HCl eye drop-0.25%-5 ml (51.99.99.99 -523191) โดยวิธีตกลงราคา [91,913]
3. ซื้อเวชภัณฑ์มิใช่ยา Syringe พลาสติก 10 cc (42.14.26.08 ) กล่อง100 SET โดยวิธีตกลงราคา [85,600]
4. ซื้อเวชภัณฑ์มิใช่ยา Medicut NO 22  (42.22.15.04 ) กล่อง50 SET โดยวิธีตกลงราคา [83,460]
5. ซื้อชุดอุปกรณ์การหาหมู่ของดีออกซีไรโบนิวคลีอิคเอซิด ดีเอ็นเอ (41.10.61.03 ) โดยวิธีตกลงราคา [77,040]
6. ซื้อวัสดุการแพทย์ วัสดุใช้ปิดทับและยึดวัสดุปิดแผล 10 cm.x10 m (42.31.15.00 ) โดยวิธีตกลงราคา [64,200]
7. ซื้อยา Atomoxetine HCl cap-40mg  (51.99.99.99 -650459) กล่อง28 เม็ด โดยวิธีตกลงราคา [31,779]
8. ซื้อวัสดุการแพทย์ Cavafix certo 375  (42.16.15.03 ) โดยวิธีตกลงราคา [17,655]
9. ซื้อยา Fat emulsion MCT/LCT-20%-250 ml(51.99.99.99 -677454) โดยวิธีตกลงราคา [15,890]
10. ซื้อยา Pilocarpine eye drop-2%-15 ml. (51.99.99.99 -522432) โดยวิธีตกลงราคา [6,420]</t>
        </is>
      </c>
      <c r="G63" s="5" t="inlineStr">
        <is>
          <t>B</t>
        </is>
      </c>
      <c r="H63" s="6" t="n"/>
      <c r="I63" s="6" t="n"/>
    </row>
    <row r="64">
      <c r="A64" s="5" t="inlineStr">
        <is>
          <t>2558-063</t>
        </is>
      </c>
      <c r="B64" s="5" t="inlineStr">
        <is>
          <t>pre (FY2015)</t>
        </is>
      </c>
      <c r="C64" s="5" t="inlineStr">
        <is>
          <t>โรงเรียนบ้านมาบกราด</t>
        </is>
      </c>
      <c r="D64" s="5" t="n">
        <v>2</v>
      </c>
      <c r="E64" s="5" t="n">
        <v>524400</v>
      </c>
      <c r="F64" s="5" t="inlineStr">
        <is>
          <t>1. สอบราคาซื้อระบบคอมพิวเตอร์และอุปกรณ์ต่อพ่วง ประจำปีงบประมาณ พ.ศ. 2556 และประจำปีปีงบประมาณ พ.ศ. 2557 [262,200]
2. สอบราคาซื้อระบบคอมพิวเตอร์และอุปกรณ์ต่อพ่วง ประจำปีงบประมาณ พ.ศ. 2556 และประจำปีปีงบประมาณ พ.ศ. 2557 [262,200]</t>
        </is>
      </c>
      <c r="G64" s="5" t="inlineStr">
        <is>
          <t>A</t>
        </is>
      </c>
      <c r="H64" s="6" t="n"/>
      <c r="I64" s="6" t="n"/>
    </row>
    <row r="65">
      <c r="A65" s="5" t="inlineStr">
        <is>
          <t>2558-064</t>
        </is>
      </c>
      <c r="B65" s="5" t="inlineStr">
        <is>
          <t>pre (FY2015)</t>
        </is>
      </c>
      <c r="C65" s="5" t="inlineStr">
        <is>
          <t>โรงพยาบาลพระนั่งเกล้า</t>
        </is>
      </c>
      <c r="D65" s="5" t="n">
        <v>21</v>
      </c>
      <c r="E65" s="5" t="n">
        <v>1713272</v>
      </c>
      <c r="F65" s="5" t="inlineStr">
        <is>
          <t>1. ซื้อยา EZETROL 10MG. TAB. โดยวิธีตกลงราคา [99,992]
2. ซื้อยา CARDEPINE 2MG. INJ. โดยวิธีตกลงราคา [99,959]
3. ซื้อยา AVAMYS 27.5MCG. โดยวิธีตกลงราคา [99,911]
4. ซื้อยา TAREG 160MG. TAB. โดยวิธีตกลงราคา [99,863]
5. ซื้อยา ATORVASTATIN 40MG. TAB. โดยวิธีตกลงราคา [99,670]
6. ซื้อยา EXFORGE 5/160mg. tab. จำนวน 186 กล่อง โดยวิธีตกลงราคา [99,510]
7. ซื้อยา TRAJENTA 5MG. TAB. โดยวิธีตกลงราคา [99,450]
8. ซื้อยา CELEBREX 200MG. โดยวิธีตกลงราคา [99,237]
9. ซื้อยา JANUVIA 100MG. โดยวิธีตกลงราคา [99,150]
10. ซื้อยา JANUMET 50MG/500MG. โดยวิธีตกลงราคา [96,471]
11. ซื้อยา VICTOZA 6MG/ML. โดยวิธีตกลงราคา [96,300]
12. ซื้อยา ASTAZ P 4.5G. โดยวิธีตกลงราคา [96,300]
13. ซื้อยา LYRICA 25MG. TAB. โดยวิธีตกลงราคา [93,090]
14. ซื้อยา ZANIDIP 10MG. TAB. โดยวิธีตกลงราคา [89,346]
15. ซื้อยา ACTILYSE 1*50MG. INJ. โดยวิธีตกลงราคา [83,460]
16. ซื้อยา NOVORAPID เพนฟิลล์ โดยวิธีตกลงราคา [72,760]
17. ซื้อยา CURAM 1000MG/200MG. โดยวิธีตกลงราคา [69,550]
18. ซื้อยา TRACRIUM 5ML. INJ. โดยวิธีตกลงราคา [60,990]
19. ซื้อยา FLIXOTIDE EVOHALER 125MCG. โดยวิธีตกลงราคา [25,894]
20. ซื้อยา OLICLINOMEL N7 1000E 1500ML. โดยวิธีตกลงราคา [19,260]
21. ซื้อยา LOTEMAX 0.5% 5ML. โดยวิธีตกลงราคา [13,108]</t>
        </is>
      </c>
      <c r="G65" s="5" t="inlineStr">
        <is>
          <t>B</t>
        </is>
      </c>
      <c r="H65" s="6" t="n"/>
      <c r="I65" s="6" t="n"/>
    </row>
    <row r="66">
      <c r="A66" s="5" t="inlineStr">
        <is>
          <t>2558-065</t>
        </is>
      </c>
      <c r="B66" s="5" t="inlineStr">
        <is>
          <t>pre (FY2015)</t>
        </is>
      </c>
      <c r="C66" s="5" t="inlineStr">
        <is>
          <t>มหาวิทยาลัยนเรศวร</t>
        </is>
      </c>
      <c r="D66" s="5" t="n">
        <v>8</v>
      </c>
      <c r="E66" s="5" t="n">
        <v>1055612</v>
      </c>
      <c r="F66" s="5" t="inlineStr">
        <is>
          <t>1. ซื้อเวชภัณฑ์มิใช่ยา  จำนวน  3 รายการ คณะแพทยศาสตร์ โดยวิธีตกลงราคา [283,550]
2. ซื้อเวชภัณฑ์มิใช่ยา  จำนวน  18 รายการ คณะแพทยศาสตร์ โดยวิธีตกลงราคา [272,636]
3. ซื้อเวชภัณฑ์มิใช่ยา  จำนวน 5  รายการ คณะแพทยศาสตร์ โดยวิธีตกลงราคา [211,592]
4. ซื้อเวชภัณฑ์มิใช่ยา จำนวน 1 รายการ ของคณะแพทยศาสตร์ โดยวิธีตกลงราคา [115,560]
5. ซื้อเวชภัณฑ์มิใช่ยา  จำนวน 3 รายการ ของคณะแพทยศาสตร์ โดยวิธีตกลงราคา [92,020]
6. ซื้อเวชภัณฑ์มิใช่ยา  จำนวน  2 รายการ คณะแพทยศาสตร์ โดยวิธีตกลงราคา [34,625]
7. ซื้อเวชภัณฑ์มิใช่ยา  จำนวน  2 รายการ คณะแพทยศาสตร์ โดยวิธีตกลงราคา [27,973]
8. ซื้อเวชภัณฑ์มิใช่ยา จำนวน 2 รายการ ของคณะแพทยศาสตร์ โดยวิธีตกลงราคา [17,655]</t>
        </is>
      </c>
      <c r="G66" s="5" t="inlineStr">
        <is>
          <t>C</t>
        </is>
      </c>
      <c r="H66" s="6" t="n"/>
      <c r="I66" s="6" t="n"/>
    </row>
    <row r="67">
      <c r="A67" s="5" t="inlineStr">
        <is>
          <t>2558-066</t>
        </is>
      </c>
      <c r="B67" s="5" t="inlineStr">
        <is>
          <t>pre (FY2015)</t>
        </is>
      </c>
      <c r="C67" s="5" t="inlineStr">
        <is>
          <t>มหาวิทยาลัยนวมินทราธิราช</t>
        </is>
      </c>
      <c r="D67" s="5" t="n">
        <v>4</v>
      </c>
      <c r="E67" s="5" t="n">
        <v>822367</v>
      </c>
      <c r="F67" s="5" t="inlineStr">
        <is>
          <t>1. ซื้ออวัยวะเทียม จำนวน 11 รายการ โดยวิธีตกลงราคา [384,558]
2. ซื้ออวัยวะเทียม จำนวน 7 รายการ โดยวิธีตกลงราคา [194,526]
3. ซื้ออวัยวะเทียม จำนวน 7 รายการ โดยวิธีตกลงราคา [189,283]
4. ซื้ออวัยวะเทียม จำนวน 4 รายการ โดยวิธีตกลงราคา [54,000]</t>
        </is>
      </c>
      <c r="G67" s="5" t="inlineStr">
        <is>
          <t>A</t>
        </is>
      </c>
      <c r="H67" s="6" t="n"/>
      <c r="I67" s="6" t="n"/>
    </row>
    <row r="68">
      <c r="A68" s="5" t="inlineStr">
        <is>
          <t>2558-067</t>
        </is>
      </c>
      <c r="B68" s="5" t="inlineStr">
        <is>
          <t>pre (FY2015)</t>
        </is>
      </c>
      <c r="C68" s="5" t="inlineStr">
        <is>
          <t>เทศบาลตำบลบ้านกลาง</t>
        </is>
      </c>
      <c r="D68" s="5" t="n">
        <v>2</v>
      </c>
      <c r="E68" s="5" t="n">
        <v>679000</v>
      </c>
      <c r="F68" s="5" t="inlineStr">
        <is>
          <t>1. สอบราคาจ้างโครงการ ติดตั้งโคมไฟฟ้าสาธารณะ ถนนวัดเสด็จสายใน หมู่ที่ ๒ (ครั้งที่ ๒) [414,000]
2. สอบราคาจ้างโครงการ ปรับปรุงไฟฟ้าแสงสว่างสาธารณะ หมู่ที่ ๕ (ครั้งที่ ๒) [265,000]</t>
        </is>
      </c>
      <c r="G68" s="5" t="inlineStr">
        <is>
          <t>A</t>
        </is>
      </c>
      <c r="H68" s="6" t="n"/>
      <c r="I68" s="6" t="n"/>
    </row>
    <row r="69">
      <c r="A69" s="5" t="inlineStr">
        <is>
          <t>2558-068</t>
        </is>
      </c>
      <c r="B69" s="5" t="inlineStr">
        <is>
          <t>pre (FY2015)</t>
        </is>
      </c>
      <c r="C69" s="5" t="inlineStr">
        <is>
          <t>กรมชลประทาน</t>
        </is>
      </c>
      <c r="D69" s="5" t="n">
        <v>2</v>
      </c>
      <c r="E69" s="5" t="n">
        <v>543610</v>
      </c>
      <c r="F69" s="5" t="inlineStr">
        <is>
          <t>1. สอบราคาซื้อปูนซีเมนต์ปอร์ตแลนด์ประเภท 1 และอื่นๆ  จำนวน 4 รายการ ของงานซ่อมแซมระบบส่งน้ำอ่างเก็บน้ำห้วยคำไฮพร้อมอาคารประกอบ บ้านนาเดื่อ ตำบล นาเดื่อ  อำเภอศรีสงคราม  จังหวัดนครพนม เลขที่  นพ. 29/2558 [282,810]
2. สอบราคาซื้อกรวดล้างน้ำ,ทรายหยาบน้ำจืด,หินใหญ่  จำนวน 3 รายการ ของงานซ่อมแซมอาคารระบายน้ำพร้อมขุดลอกตะกอนดินอ่างเก็บน้ำห้วยอ้วน  บ้านอ้วน ตำบลหาดแพง  อำเภอศรีสงคราม จังหวัดนครพนม เลขที่  นพ. 28/2558 [260,800]</t>
        </is>
      </c>
      <c r="G69" s="5" t="inlineStr">
        <is>
          <t>B</t>
        </is>
      </c>
      <c r="H69" s="6" t="n"/>
      <c r="I69" s="6" t="n"/>
    </row>
    <row r="70">
      <c r="A70" s="5" t="inlineStr">
        <is>
          <t>2558-069</t>
        </is>
      </c>
      <c r="B70" s="5" t="inlineStr">
        <is>
          <t>pre (FY2015)</t>
        </is>
      </c>
      <c r="C70" s="5" t="inlineStr">
        <is>
          <t>กรมชลประทาน</t>
        </is>
      </c>
      <c r="D70" s="5" t="n">
        <v>10</v>
      </c>
      <c r="E70" s="5" t="n">
        <v>507072</v>
      </c>
      <c r="F70" s="5" t="inlineStr">
        <is>
          <t>1. ซื้อแผ่นพื้นสำเร็จรูป คสล. รูปตัว U คว่ำ จำนวน ๙๑ ตารางเมตร โดยวิธีตกลงราคา [75,894]
2. ซื้อแผ่นพื้นสำเร็จรูป คสล. รูปตัว U คว่ำ ขนาด ๗๒ ตารางเมตร โดยวิธีตกลงราคา [60,048]
3. ซื้อแผ่นพื้นสำเร็จรูป คสล.รูปตัว U คว่ำ จำนวน ๖๗ ตารางเมตร โดยวิธีตกลงราคา [56,712]
4. ซื้อแผ่นพื้นสำเร็จรูป คสล. รูปตัว U คว่ำ จำนวน ๖๓ ตารางเมตร โดยวิธีตกลงราคา [52,542]
5. ซื้อแผ่นพื้นสำเร็จรูป คสล. รูปตัว U คว่ำ จำนวน ๕๕ ตารางเมตร โดยวิธีตกลงราคา [45,870]
6. ซื้อแผ่นพื้นสำเร็จ คสล. รูปตัว U คว่ำ จำนวน ๕๔ ตารางเมตร โดยวิธีตกลงราคา [45,036]
7. ซื้อแผ่นพื้นสำเร็จรูป คสล. รูปตัว U คว่ำ จำนวน ๕๔ ตารางเมตร โดยวิธีตกลงราคา [45,036]
8. ซื้อแผ่นพื้นสำเร็จรูป คสล. รูปตัว U คว่ำ จำนวน ๕๔ ตารางเมตร โดยวิธีตกลงราคา [45,036]
9. ซื้อแผ่นพื้นสำเร็จ คสล.รูปตัว U คว่ำ ขนาด ๐.๒๐x๐.๖๐x๖.๐๐ เมตร จำนวน ๕๔ ตารางเมตร โดยวิธีตกลงราคา [45,036]
10. ซื้อแผ่นพื้นสำเร็จ คสล. รูปตัว U คว่ำ ขนาด ๐.๒๐x๐.๖๐x๖.๐๐ เมตร จำนวน ๔๓ ตารางเมตร โดยวิธีตกลงราคา [35,862]</t>
        </is>
      </c>
      <c r="G70" s="5" t="inlineStr">
        <is>
          <t>A</t>
        </is>
      </c>
      <c r="H70" s="6" t="n"/>
      <c r="I70" s="6" t="n"/>
    </row>
    <row r="71">
      <c r="A71" s="5" t="inlineStr">
        <is>
          <t>2558-070</t>
        </is>
      </c>
      <c r="B71" s="5" t="inlineStr">
        <is>
          <t>pre (FY2015)</t>
        </is>
      </c>
      <c r="C71" s="5" t="inlineStr">
        <is>
          <t>กรมชลประทาน</t>
        </is>
      </c>
      <c r="D71" s="5" t="n">
        <v>2</v>
      </c>
      <c r="E71" s="5" t="n">
        <v>519080</v>
      </c>
      <c r="F71" s="5" t="inlineStr">
        <is>
          <t>1.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จำนวน  ๙,๕๐๐  ลิตร โดยวิธีพิเศษ [259,540]
2. ซื้อน้ำมันดีเซลหมุนเร็ว เฉพาะเนื้อน้ำมัน (มอก.๑๒๖๗-๒๕๔๔) ไม่รวมภาชนะบรรจุรวมภาษีมูลค่าเพิ่มและค่าขนส่ง จำนวน  ๙,๕๐๐  ลิตร โดยวิธีพิเศษ [259,540]</t>
        </is>
      </c>
      <c r="G71" s="5" t="inlineStr">
        <is>
          <t>A</t>
        </is>
      </c>
      <c r="H71" s="6" t="n"/>
      <c r="I71" s="6" t="n"/>
    </row>
    <row r="72">
      <c r="A72" s="5" t="inlineStr">
        <is>
          <t>2558-071</t>
        </is>
      </c>
      <c r="B72" s="5" t="inlineStr">
        <is>
          <t>pre (FY2015)</t>
        </is>
      </c>
      <c r="C72" s="5" t="inlineStr">
        <is>
          <t>โรงพยาบาลร้อยเอ็ด</t>
        </is>
      </c>
      <c r="D72" s="5" t="n">
        <v>19</v>
      </c>
      <c r="E72" s="5" t="n">
        <v>1133815</v>
      </c>
      <c r="F72" s="5" t="inlineStr">
        <is>
          <t>1. ซื้อเวชภัณฑ์ยา Erythropoietin Alpha ๕๐๐๐ IU / ๑ set โดยวิธีตกลงราคา [99,617]
2. ซื้อเวชภัณฑ์ยา Erythropoietin Alpha ๕๐๐๐ IU / ๑ set โดยวิธีตกลงราคา [99,617]
3. ซื้อเวชภัณฑ์ยา Erythropoietin Alpha ๕๐๐๐ IU / ๑ set โดยวิธีตกลงราคา [99,617]
4. ซื้อเวชภัณฑ์ที่มิใช่ยา ๑ รายการ คือ พลาสเตอร์ใสขนาดเล็ก ๑ นิ้ว จำนวน ๔๐๐ กล่อง โดยวิธีตกลงราคา [98,440]
5. ซื้อmeropenem 500 mg powder for solution for injection, 500 mg vial (51.99.99.99 -568675) โดยวิธีตกลงราคา [97,370]
6. ซื้อเวชภัณฑ์ยา  Propofol ๑ % ๒๐ ml inj / ๕ amps โดยวิธีตกลงราคา [96,300]
7. ซื้อเวชภัณฑ์ที่มิใช่ยา ๑ รายการ คือ IV Catheter No.๒๔ จำนวน ๑๙๐ กล่อง โดยวิธีตกลงราคา [93,518]
8. ซื้อวัสดุวิทยาสาสตร์ Alkaline Phosphatse จำนวน ๑๒,๐๐๐ Test โดยวิธีตกลงราคา [77,040]
9. ซื้อเวชภัณฑ์ยา  Hydroxyethyl starch ๖ % /๑ ขวด โดยวิธีตกลงราคา [60,990]
10. ซื้อเวชภัณฑ์ยา Momethasone ๕ G Cream /๕๐ หลอด โดยวิธีตกลงราคา [51,852]
11. ซื้อเวชภัณฑ์ที่มิใช่ยา ๑ รายการ คือ แผ่นฟิล์มใสติด IV ๖ x ๗ cm. จำนวน ๕๐ กล่อง โดยวิธีตกลงราคา [48,952]
12. ซื้อเวชภัณฑ์ยา Sodium Valproate ๒๐๐ mg/ml syr ๖๐ ml/ ๑ ขวด โดยวิธีตกลงราคา [47,080]
13. ซื้อเวชภัณฑ์ยา  Irbesartan ๓๐๐ mg tablet /๒๘ เม็ด โดยวิธีตกลงราคา [47,059]
14. ซื้อเวชภัณฑ์ยา  Macrogol ๔๐๐๐ powder / ๑๐ ซอง โดยวิธีตกลงราคา [37,450]
15. ซื้อเวชภัณฑ์ยา Risedronate Sodium ๓๕ mg.Tab / ๔ เม็ด โดยวิธีตกลงราคา [35,952]
16. ซื้อเวชภัณฑ์ยา Tropicamide ๑% ed / ๑ ขวด โดยวิธีตกลงราคา [22,149]
17. ซื้อเวชภัณฑ์ยา Cyclo-progynova tab/ ๒๑ เม็ด โดยวิธีตกลงราคา [10,272]
18. ซื้อเวชภัณฑ์ยา  Lidocaine HCL ๒% ๓๐ G/ TUBE /๑ หลอด โดยวิธีตกลงราคา [6,152]
19. ซื้อเวชภัณฑ์ยา  Lidocaine HCL spray ๑๐% ๕๐ ml /Bot / ๑ ขวด โดยวิธีตกลงราคา [4,387]</t>
        </is>
      </c>
      <c r="G72" s="5" t="inlineStr">
        <is>
          <t>A</t>
        </is>
      </c>
      <c r="H72" s="6" t="n"/>
      <c r="I72" s="6" t="n"/>
    </row>
    <row r="73">
      <c r="A73" s="5" t="inlineStr">
        <is>
          <t>2558-072</t>
        </is>
      </c>
      <c r="B73" s="5" t="inlineStr">
        <is>
          <t>pre (FY2015)</t>
        </is>
      </c>
      <c r="C73" s="5" t="inlineStr">
        <is>
          <t>องค์การบริหารส่วนตำบลหนองขาม</t>
        </is>
      </c>
      <c r="D73" s="5" t="n">
        <v>5</v>
      </c>
      <c r="E73" s="5" t="n">
        <v>710000</v>
      </c>
      <c r="F73" s="5" t="inlineStr">
        <is>
          <t>1. สอบราคาจ้างโครงการลงลูกรังถนนในหมู่บ้าน  หมู่ที่ 18 [198,000]
2. สอบราคาจ้างโครงการก่อสร้างถนนคอนกรีตเสริมเหล็กบ้านดงสว่าง หมู่ที่ 3  ตำบลหนองขาม  อำเภออาจสามารถ  จังหวัดร้อยเอ็ด [151,000]
3. สอบราคาจ้างโครงการก่อสร้างถนนคอนกรีตเสริมเหล็ก หมู่ที่ 12 บ้านหนองยางน้อย [151,000]
4. สอบราคาจ้างโครงการก่อสร้างถนนคอนกรีตเสริมเหล็กบ้านลิ้นฟ้า หมู่ที่ 5 ตำบลหนองขาม อำเภออาจสามารถ จังหวัดร้อยเอ็ด [105,000]
5. สอบราคาจ้างโครงการก่อสร้างถนนคอนกรีตเสริมเหล็กบ้านเป้า หมู่ที่ 7 ตำบลหนองขาม อำเภออาจสามารถ จังหวัดร้อยเอ็ด [105,000]</t>
        </is>
      </c>
      <c r="G73" s="5" t="inlineStr">
        <is>
          <t>A</t>
        </is>
      </c>
      <c r="H73" s="6" t="n"/>
      <c r="I73" s="6" t="n"/>
    </row>
    <row r="74">
      <c r="A74" s="5" t="inlineStr">
        <is>
          <t>2558-073</t>
        </is>
      </c>
      <c r="B74" s="5" t="inlineStr">
        <is>
          <t>pre (FY2015)</t>
        </is>
      </c>
      <c r="C74" s="5" t="inlineStr">
        <is>
          <t>โรงพยาบาลสระบุรี</t>
        </is>
      </c>
      <c r="D74" s="5" t="n">
        <v>18</v>
      </c>
      <c r="E74" s="5" t="n">
        <v>887180</v>
      </c>
      <c r="F74" s="5" t="inlineStr">
        <is>
          <t>1. ซื้อCARVEDILOL 12.5 MG ชดเชยจำนวน 2,800 เม็ด โดยวิธีตกลงราคา [98,000]
2. ซื้อCLOPIDOGREL 75 MG TAB (L) โดยวิธีตกลงราคา [90,000]
3. ซื้อCARVEDILOL 6.25 MG ชดเชยจำนวน 3,600 เม็ด โดยวิธีตกลงราคา [90,000]
4. ซื้อOMEPRAZOLE 20 MG CAP ชดเชยจำนวน 21,000 เม็ด โดยวิธีตกลงราคา [84,000]
5. ซื้อSIMVASTATIN 10 MG ชดเชยจำนวน 20,000 เม็ด โดยวิธีตกลงราคา [84,000]
6. ซื้อMIXED 70/30 INSULIN HUMAN 100 U/ML, 10 ML โดยวิธีตกลงราคา [76,800]
7. ซื้อENALAPRIL MALEATE 5 MG TAB โดยวิธีตกลงราคา [76,000]
8. ซื้อPIOGLITAZONE 15 MG TAB โดยวิธีตกลงราคา [60,000]
9. ซื้อGEMFIBROZIL 600 MG โดยวิธีตกลงราคา [59,500]
10. ซื้อATENOLOL 50 MG TAB โดยวิธีตกลงราคา [38,000]
11. ซื้อLACTULOSE 66.7 gm/100 ml โดยวิธีตกลงราคา [36,000]
12. ซื้อSPIRONOLACTONE 100 MG. โดยวิธีตกลงราคา [30,000]
13. ซื้อGLICLAZIDE 30 MG MR โดยวิธีตกลงราคา [16,650]
14. ซื้อISPAGHULA HUSK โดยวิธีตกลงราคา [13,200]
15. ซื้อSPIRONOLACTONE 25 MG โดยวิธีตกลงราคา [10,750]
16. ซื้อPROPRANOLOL HCL 10 MG โดยวิธีตกลงราคา [10,000]
17. ซื้อMONOBASIC Na PHOSPHATE2.4G+DIBASIC Na PHOSPHATE0.9 G โดยวิธีตกลงราคา [8,400]
18. ซื้อINSULIN HUMAN LIKE,10 ML โดยวิธีตกลงราคา [5,880]</t>
        </is>
      </c>
      <c r="G74" s="5" t="inlineStr">
        <is>
          <t>B</t>
        </is>
      </c>
      <c r="H74" s="6" t="n"/>
      <c r="I74" s="6" t="n"/>
    </row>
    <row r="75">
      <c r="A75" s="5" t="inlineStr">
        <is>
          <t>2558-074</t>
        </is>
      </c>
      <c r="B75" s="5" t="inlineStr">
        <is>
          <t>pre (FY2015)</t>
        </is>
      </c>
      <c r="C75" s="5" t="inlineStr">
        <is>
          <t>โรงพยาบาลพระนั่งเกล้า</t>
        </is>
      </c>
      <c r="D75" s="5" t="n">
        <v>12</v>
      </c>
      <c r="E75" s="5" t="n">
        <v>648399</v>
      </c>
      <c r="F75" s="5" t="inlineStr">
        <is>
          <t>1. ซื้อfexofenadine 180 mg film-coated tablet, 1 tablet (51.99.99.99 -650638) โดยวิธีตกลงราคา [95,230]
2. ซื้อisotretinoin 20 mg capsule, soft, 1 capsule (51.99.99.99 -229487) โดยวิธีตกลงราคา [94,759]
3. ซื้อlidocain 2.5 g/100 g + prilocaine 2.5 g/100 g cream, 30 g tube (51.99.99.99 -509867) โดยวิธีตกลงราคา [93,625]
4. ซื้อfinasteride 5 mg film-coated tablet, 1 tablet (51.99.99.99 -260977) โดยวิธีตกลงราคา [90,415]
5. ซื้อinfliximab 100 mg powder concentrate for solution for infusion, 100 mg vial (51.99.99.99 -789222) โดยวิธีตกลงราคา [78,709]
6. ซื้อitraconazole 100 mg capsule, soft, 1 capsule (51.99.99.99 -446493) โดยวิธีตกลงราคา [55,640]
7. ซื้อbetamethasone dipropionate 50 mg/100 g + salicylic acid 3 g/100 g ointment, 5 g tube (51.99.99.99 -645110) โดยวิธีตกลงราคา [44,512]
8. ซื้อolive oil 50 mL/100 mL cutaneous liquid, 450 mL bottle (51.99.99.99 -844482) โดยวิธีตกลงราคา [36,979]
9. ซื้อEucerin Sensitive Lotion F 400 ml  (53.13.16.19 ) โดยวิธีตกลงราคา [18,939]
10. ซื้อScagel 9 g  (53.13.16.19 ) โดยวิธีตกลงราคา [16,050]
11. ซื้อBepanthen Ointment 30 g  (99.99.90.01 ) โดยวิธีตกลงราคา [12,305]
12. ซื้อdrospirenone 3 mg + ethinylestradiol 20 mcg film-coated tablet, 28 tablets pack (51.99.99.99 -683549) โดยวิธีตกลงราคา [11,235]</t>
        </is>
      </c>
      <c r="G75" s="5" t="inlineStr">
        <is>
          <t>B</t>
        </is>
      </c>
      <c r="H75" s="6" t="n"/>
      <c r="I75" s="6" t="n"/>
    </row>
    <row r="76">
      <c r="A76" s="5" t="inlineStr">
        <is>
          <t>2558-075</t>
        </is>
      </c>
      <c r="B76" s="5" t="inlineStr">
        <is>
          <t>pre (FY2015)</t>
        </is>
      </c>
      <c r="C76" s="5" t="inlineStr">
        <is>
          <t>การไฟฟ้าส่วนภูมิภาค</t>
        </is>
      </c>
      <c r="D76" s="5" t="n">
        <v>2</v>
      </c>
      <c r="E76" s="5" t="n">
        <v>530543</v>
      </c>
      <c r="F76" s="5" t="inlineStr">
        <is>
          <t>1. ซื้อซื้อวัสดุขาดแคลนจำนวน4รายการ งบผู้ใช้ไฟ กฟจ.พะเยา ปี 2558 โดยวิธีตกลงราคา [299,168]
2. ซื้อพัสดุขาดแคลน จำนวน 8 รายการ งบผู้ใช้ไฟและงาน คฟม. กฟจ.พะเยา ปี 2558 โดยวิธีตกลงราคา [231,375]</t>
        </is>
      </c>
      <c r="G76" s="5" t="inlineStr">
        <is>
          <t>C</t>
        </is>
      </c>
      <c r="H76" s="6" t="n"/>
      <c r="I76" s="6" t="n"/>
    </row>
    <row r="77">
      <c r="A77" s="5" t="inlineStr">
        <is>
          <t>2558-076</t>
        </is>
      </c>
      <c r="B77" s="5" t="inlineStr">
        <is>
          <t>pre (FY2015)</t>
        </is>
      </c>
      <c r="C77" s="5" t="inlineStr">
        <is>
          <t>โรงพยาบาลหาดใหญ่</t>
        </is>
      </c>
      <c r="D77" s="5" t="n">
        <v>32</v>
      </c>
      <c r="E77" s="5" t="n">
        <v>1736808</v>
      </c>
      <c r="F77" s="5" t="inlineStr">
        <is>
          <t>1. ซื้อCOPLAVIX TAB 75/75 MG(CLOPIDOGREL+ASA)(30 TAB)จำนวน 48 หน่วย โดยวิธีตกลงราคา [99,279]
2. ซื้อSYMBICORT (160/4.5) 120 DOSE TURBUHALER(1 BOT)จำนวน 100 หน่วย โดยวิธีตกลงราคา [98,440]
3. ซื้อPARIET TAB 20 MG(280 TAB)จำนวน 9 หน่วย โดยวิธีตกลงราคา [95,337]
4. ซื้อARICEPT EVESS TAB 10 MG(28 TAB)จำนวน 29 หน่วย โดยวิธีตกลงราคา [95,107]
5. ซื้อREMINYL TAB 8 MG.(28 TAB)จำนวน 40 หน่วย โดยวิธีตกลงราคา [94,930]
6. ซื้อHYDROXYUREA CAP 500 MG (HYDREA)(100 CAP)จำนวน 45 หน่วย โดยวิธีตกลงราคา [94,913]
7. ซื้อAMARYL TAB 2 MG(120 TAB)จำนวน 70 หน่วย โดยวิธีตกลงราคา [94,374]
8. ซื้อEPOETIN BETA  5,000 IU (RECORMON)(6 SET)จำนวน 11 หน่วย โดยวิธีตกลงราคา [93,430]
9. ซื้อVASTAREL MR TAB 35 MG จำนวน 180 หน่วย โดยวิธีตกลงราคา [91,870]
10. ซื้อAVASTINE INJ.100 MG/4ML (*S*)(1 VIAL)จำนวน 5 หน่วย โดยวิธีตกลงราคา [90,950]
11. ซื้อEPOETIN BETA INJ 100 MCG (MIRCERA)(1 SET)จำนวน 9 หน่วย โดยวิธีตกลงราคา [90,329]
12. ซื้อMYONAL TAB 50 MG(30 TAB)จำนวน 400 หน่วย โดยวิธีตกลงราคา [85,172]
13. ซื้อAGOMELATINE 25 MG (VALDOXAN)(28 TAB)จำนวน 50 หน่วย โดยวิธีตกลงราคา [81,855]
14. ซื้อTHEOPHYLLINE SUST.TAB 200 MG(100 TAB)จำนวน 500 หน่วย โดยวิธีตกลงราคา [56,175]
15. ซื้อDAXAS TAB 500 MCG (ROFLUMILAST)(30 TAB)จำนวน 40 หน่วย โดยวิธีตกลงราคา [51,360]
16. ซื้อNORGESIC TAB(500 TAB)จำนวน 60 หน่วย โดยวิธีตกลงราคา [46,224]
17. ซื้อAMIODARONE INJ 50 MG/ML,3ML(6 AMP)จำนวน 80 หน่วย โดยวิธีตกลงราคา [44,512]
18. ซื้อCOVERSYL ARGININE TAB 5 MG(30 TAB)จำนวน 100 หน่วย โดยวิธีตกลงราคา [43,870]
19. ซื้อCOVERSYL ARGININE PLUS TAB 5 MG/1.25 MG(30 TAB)จำนวน 100 หน่วย โดยวิธีตกลงราคา [43,870]
20. ซื้อDARUNAVIR(PREZISTA) TAB 300 MG(120 TAB)จำนวน 5 หน่วย โดยวิธีตกลงราคา [36,754]
21. ซื้อSYSTANE ULTRA EYE DROP(1 BOT.)จำนวน 200 หน่วย โดยวิธีตกลงราคา [28,000]
22. ซื้อVOLTAREN EYE DROP 5 ML(1 BOT)จำนวน 150 หน่วย โดยวิธีตกลงราคา [24,717]
23. ซื้อCONCOR TAB 5 MG(100 TAB)จำนวน 30 หน่วย โดยวิธีตกลงราคา [24,075]
24. ซื้อNIFEDIPINE CR TAB 30 MG(30 TAB)จำนวน 40 หน่วย โดยวิธีตกลงราคา [18,618]
25. ซื้อDAIVOBET OINTMENT 15 GM(1 TUBE)จำนวน 30 หน่วย โดยวิธีตกลงราคา [16,692]
26. ซื้อSPASMO-LYT TAB 20 MG.(100 TAB)จำนวน 10 หน่วย โดยวิธีตกลงราคา [14,980]
27. ซื้อCHROMIC NO.1 37MM C137(12 PICE)จำนวน 20 หน่วย โดยวิธีตกลงราคา [14,338]
28. ซื้อLIVIAL TAB 2.5 MG(28 TAB)จำนวน 20 หน่วย โดยวิธีตกลงราคา [14,231]
29. ซื้อSOFRADEX E/E DROP 8 ML(1 BOT)จำนวน 200 หน่วย โดยวิธีตกลงราคา [13,910]
30. ซื้อS-26 PDF GOLD 400 GM(1 CAN)จำนวน 96 หน่วย โดยวิธีตกลงราคา [13,456]
31. ซื้อCHROMIC 2/0 30MM  1/2 ROUND(C-2030)(1 DOZ.)จำนวน 20 หน่วย โดยวิธีตกลงราคา [13,268]
32. ซื้อCHROMIC NO.1 HR37S -75 CM(12 PICE)จำนวน 20 หน่วย โดยวิธีตกลงราคา [11,770]</t>
        </is>
      </c>
      <c r="G77" s="5" t="inlineStr">
        <is>
          <t>B</t>
        </is>
      </c>
      <c r="H77" s="6" t="n"/>
      <c r="I77" s="6" t="n"/>
    </row>
    <row r="78">
      <c r="A78" s="5" t="inlineStr">
        <is>
          <t>2558-077</t>
        </is>
      </c>
      <c r="B78" s="5" t="inlineStr">
        <is>
          <t>pre (FY2015)</t>
        </is>
      </c>
      <c r="C78" s="5" t="inlineStr">
        <is>
          <t>โรงพยาบาลธรรมศาสตร์เฉลิมพระเกียรติ</t>
        </is>
      </c>
      <c r="D78" s="5" t="n">
        <v>2</v>
      </c>
      <c r="E78" s="5" t="n">
        <v>547198</v>
      </c>
      <c r="F78" s="5" t="inlineStr">
        <is>
          <t>1. ซื้อยา ภ.0511-2558 โดยวิธีตกลงราคา [376,640]
2. ซื้อซื้ิอยา (ภ.0510-2558) โดยวิธีตกลงราคา [170,558]</t>
        </is>
      </c>
      <c r="G78" s="5" t="inlineStr">
        <is>
          <t>C</t>
        </is>
      </c>
      <c r="H78" s="6" t="n"/>
      <c r="I78" s="6" t="n"/>
    </row>
    <row r="79">
      <c r="A79" s="5" t="inlineStr">
        <is>
          <t>2558-078</t>
        </is>
      </c>
      <c r="B79" s="5" t="inlineStr">
        <is>
          <t>pre (FY2015)</t>
        </is>
      </c>
      <c r="C79" s="5" t="inlineStr">
        <is>
          <t>โรงพยาบาลนครพนม</t>
        </is>
      </c>
      <c r="D79" s="5" t="n">
        <v>9</v>
      </c>
      <c r="E79" s="5" t="n">
        <v>579360</v>
      </c>
      <c r="F79" s="5" t="inlineStr">
        <is>
          <t>1. ซื้อtamsulosin 400 mcg prolonged-release tablet, 1 tablet (51.99.99.99 -646447) โดยวิธีตกลงราคา [96,717]
2. ซื้อiodixanol 320 mg/1 mL solution for injection, 50 mL vial (51.99.99.99 -810464) โดยวิธีตกลงราคา [93,090]
3. ซื้อinsulin aspart 100 iu/1 mL solution for injection in cartridge, 3 mL cartridge (51.99.99.99 -660258) โดยวิธีตกลงราคา [90,950]
4. ซื้อezetimibe 10 mg tablet, 1 tablet (51.99.99.99 -685115) โดยวิธีตกลงราคา [89,880]
5. ซื้อlinagliptin 5 mg film-coated tablet, 1 tablet (51.99.99.99 -650812) โดยวิธีตกลงราคา [80,635]
6. ซื้อtiotropium bromide 18 mcg inhalation powder, hard capsule, 1 capsule (51.99.99.99 -650018) โดยวิธีตกลงราคา [57,459]
7. ซื้อparecoxib 40 mg powder for solution for injection, 1 vial (51.99.99.99 -207799) โดยวิธีตกลงราคา [44,940]
8. ซื้อcyclophosphamide 1 g powder for solution for injection, 1 g vial (51.99.99.99 -201820) โดยวิธีตกลงราคา [16,906]
9. ซื้อmisoprostol 200 mcg tablet, 1 tablet (51.99.99.99 -206654) โดยวิธีตกลงราคา [8,783]</t>
        </is>
      </c>
      <c r="G79" s="5" t="inlineStr">
        <is>
          <t>B</t>
        </is>
      </c>
      <c r="H79" s="6" t="n"/>
      <c r="I79" s="6" t="n"/>
    </row>
    <row r="80">
      <c r="A80" s="5" t="inlineStr">
        <is>
          <t>2558-079</t>
        </is>
      </c>
      <c r="B80" s="5" t="inlineStr">
        <is>
          <t>pre (FY2015)</t>
        </is>
      </c>
      <c r="C80" s="5" t="inlineStr">
        <is>
          <t>กรุงเทพมหานคร</t>
        </is>
      </c>
      <c r="D80" s="5" t="n">
        <v>2</v>
      </c>
      <c r="E80" s="5" t="n">
        <v>552390</v>
      </c>
      <c r="F80" s="5" t="inlineStr">
        <is>
          <t>1. สอบราคาจ้างปรับปรุงโรงเรียนวัดโพธินิมิตร [295,740]
2. สอบราคาจ้างปรับปรุงโรงเรียนวัดบุคคโล [256,650]</t>
        </is>
      </c>
      <c r="G80" s="5" t="inlineStr">
        <is>
          <t>A</t>
        </is>
      </c>
      <c r="H80" s="6" t="n"/>
      <c r="I80" s="6" t="n"/>
    </row>
    <row r="81">
      <c r="A81" s="5" t="inlineStr">
        <is>
          <t>2558-080</t>
        </is>
      </c>
      <c r="B81" s="5" t="inlineStr">
        <is>
          <t>pre (FY2015)</t>
        </is>
      </c>
      <c r="C81" s="5" t="inlineStr">
        <is>
          <t>โรงพยาบาลแพร่</t>
        </is>
      </c>
      <c r="D81" s="5" t="n">
        <v>14</v>
      </c>
      <c r="E81" s="5" t="n">
        <v>917367</v>
      </c>
      <c r="F81" s="5" t="inlineStr">
        <is>
          <t>1. ซื้อยา CELECOXIB CAP. 200 MG. โดยวิธีตกลงราคา [99,237]
2. ซื้อยา 0.9% NaCl ; 100 ML. โดยวิธีตกลงราคา [98,640]
3. ซื้อยา PARECOXIB INJ. 40 MG. โดยวิธีตกลงราคา [91,870]
4. ซื้อยา DEFEROXAMINE MYSYLATE INJ. โดยวิธีตกลงราคา [90,950]
5. ซื้อยา FACTOR VLLA INJ. 1 MG./VIAL (NOVOSEVEN) โดยวิธีตกลงราคา [89,452]
6. ซื้อยาในบัญชียาหลักแห่งชาติ จำนวน 2 รายการ โดยวิธีตกลงราคา [87,000]
7. ซื้อยา PD4 HIGH DOSE 1.5% SOL. 5,000 ML. โดยวิธีตกลงราคา [83,350]
8. ซื้อยา PYRIDOSTIGMINE Br TAB. 60 MG.(ORIGINAL) โดยวิธีตกลงราคา [74,044]
9. ซื้อยา MOMETASONE AQ. NASAL SPRAY 140 DOSE โดยวิธีตกลงราคา [54,302]
10. ซื้อยา RIVASTIGMINE PATCH 4.6 MG/ 24 HR (Exelon) โดยวิธีตกลงราคา [46,866]
11. ซื้อยา NURAID 0.4 GM CAP. (S) โดยวิธีตกลงราคา [39,772]
12. ซื้อยา LEVOCETIRIZINE TAB. 5 MG. โดยวิธีตกลงราคา [36,460]
13. ยา BUPROPION TAB. 150 MG. (Quonem) [13,867]
14. ซื้อยา TESTOSTERONE GEL 50 MG/ซอง (ANDROGEL) (S) โดยวิธีตกลงราคา [11,556]</t>
        </is>
      </c>
      <c r="G81" s="5" t="inlineStr">
        <is>
          <t>B</t>
        </is>
      </c>
      <c r="H81" s="6" t="n"/>
      <c r="I81" s="6" t="n"/>
    </row>
    <row r="82">
      <c r="A82" s="5" t="inlineStr">
        <is>
          <t>2558-081</t>
        </is>
      </c>
      <c r="B82" s="5" t="inlineStr">
        <is>
          <t>pre (FY2015)</t>
        </is>
      </c>
      <c r="C82" s="5" t="inlineStr">
        <is>
          <t>องค์การบริหารส่วนตำบลยางราก</t>
        </is>
      </c>
      <c r="D82" s="5" t="n">
        <v>5</v>
      </c>
      <c r="E82" s="5" t="n">
        <v>726600</v>
      </c>
      <c r="F82" s="5" t="inlineStr">
        <is>
          <t>1. สอบราคาจ้างโครงการเจาะบ่อบาดาล พร้อมติดตั้งถังแรงดัน บริเวณเขตพื้นที่ 10 บ้านวังตาอินทร์ ตำบลยางราก อำเภอโคกเจริญ จังหวัดลพบุรี [145,500]
2. สอบราคาจ้างโครงการเจาะบ่อบาดาล พร้อมติดตั้งถังแรงดัน บริเวณเขตพื้นที่หมู่ที่ 1 บ้านวังตาอินทร์ ตำบลยางราก อำเภอโคกเจริญ จังหวัดลพบุรี [145,500]
3. สอบราคาจ้างโครงการเจาะบ่อบาดาล พร้อมติดตั้งถังแรงดัน บริเวณเขตพื้นที่หมู่ที่ 12 ตำบลยางราก อำเภอโคกเจริญ จังหวัดลพบุรี [145,300]
4. สอบราคาจ้างโครงการเจาะบ่อบาดาล พร้อมติดตั้งถังแรงดัน บริเวณเขตพื้นที่หมู่ที่ 3 ตำบลยางราก อำเภอโคกเจริญ จังหวัดลพบุรี [145,200]
5. สอบราคาจ้างโครงการเจาะบ่อบาดาล พร้อมติดตั้งถังแรงดัน บริเวณเขตพื้นที่หมู่ที่ 9 ตำบลยางราก อำเภอโคกเจริญ จังหวัดลพบุรี [145,100]</t>
        </is>
      </c>
      <c r="G82" s="5" t="inlineStr">
        <is>
          <t>A</t>
        </is>
      </c>
      <c r="H82" s="6" t="n"/>
      <c r="I82" s="6" t="n"/>
    </row>
    <row r="83">
      <c r="A83" s="5" t="inlineStr">
        <is>
          <t>2558-082</t>
        </is>
      </c>
      <c r="B83" s="5" t="inlineStr">
        <is>
          <t>pre (FY2015)</t>
        </is>
      </c>
      <c r="C83" s="5" t="inlineStr">
        <is>
          <t>องค์การบริหารส่วนตำบลบ้านไผ่</t>
        </is>
      </c>
      <c r="D83" s="5" t="n">
        <v>3</v>
      </c>
      <c r="E83" s="5" t="n">
        <v>589000</v>
      </c>
      <c r="F83" s="5" t="inlineStr">
        <is>
          <t>1. สอบราคาจ้างเหมาโครงการก่อสร้างวางท่อระบายน้ำ บ้านหนองกุง เส้นไปลำห้วยและไปบ้านหัวหนอง จำนวน 2 จุด หมู่ที่ 10 [233,000]
2. สอบราคาจ้างเหมาโครงการก่อสร้างวางท่อระบายน้ำ บ้านกุดเป่ง เส้นไปศาลากลางบ้านและคุ้มน้อย 2 จุด หมู่ที่ 2 [195,000]
3. สอบราคาจ้างเหมาโครงการก่อสร้างวางท่อระบายน้ำ บ้านดอนนาดี เส้นกลางบ้านฝั่งตะวันตก หมู่ที่ 12 [161,000]</t>
        </is>
      </c>
      <c r="G83" s="5" t="inlineStr">
        <is>
          <t>A</t>
        </is>
      </c>
      <c r="H83" s="6" t="n"/>
      <c r="I83" s="6" t="n"/>
    </row>
    <row r="84">
      <c r="A84" s="5" t="inlineStr">
        <is>
          <t>2558-083</t>
        </is>
      </c>
      <c r="B84" s="5" t="inlineStr">
        <is>
          <t>pre (FY2015)</t>
        </is>
      </c>
      <c r="C84" s="5" t="inlineStr">
        <is>
          <t>กรมชลประทาน</t>
        </is>
      </c>
      <c r="D84" s="5" t="n">
        <v>3</v>
      </c>
      <c r="E84" s="5" t="n">
        <v>834430</v>
      </c>
      <c r="F84" s="5" t="inlineStr">
        <is>
          <t>1. สอบราคาซื้อหินใหญ่คละขนาด 15-30 ซม. [387,400]
2. สอบราคาซื้อหินย่อยเบอร์ 2 และทรายหยาบ [304,350]
3. สอบราคาซื้อหินใหญ่คละขนาด 15-30 ซม. [142,680]</t>
        </is>
      </c>
      <c r="G84" s="5" t="inlineStr">
        <is>
          <t>A</t>
        </is>
      </c>
      <c r="H84" s="6" t="n"/>
      <c r="I84" s="6" t="n"/>
    </row>
    <row r="85">
      <c r="A85" s="5" t="inlineStr">
        <is>
          <t>2558-084</t>
        </is>
      </c>
      <c r="B85" s="5" t="inlineStr">
        <is>
          <t>pre (FY2015)</t>
        </is>
      </c>
      <c r="C85" s="5" t="inlineStr">
        <is>
          <t>โรงพยาบาลตรัง</t>
        </is>
      </c>
      <c r="D85" s="5" t="n">
        <v>13</v>
      </c>
      <c r="E85" s="5" t="n">
        <v>517564</v>
      </c>
      <c r="F85" s="5" t="inlineStr">
        <is>
          <t>1. ซื้อยา 1 รายการ โดยวิธีตกลงราคา [99,692]
2. ซื้อยา 1 รายการ โดยวิธีตกลงราคา [97,370]
3. ซื้อยา 1 รายการ โดยวิธีตกลงราคา [96,300]
4. ซื้อยา 1 รายการ โดยวิธีตกลงราคา [54,891]
5. ซื้อยา 1 รายการ โดยวิธีตกลงราคา [46,652]
6. ซื้อยา 1 รายการ โดยวิธีตกลงราคา [23,968]
7. ซื้อเวชภัณฑ์ที่มิใช่ยา 1 รายการ โดยวิธีตกลงราคา [23,540]
8. ซื้อเวชภัณฑ์ที่มิใช่ยา 1 รายการ โดยวิธีตกลงราคา [22,470]
9. ซื้อยา 1 รายการ โดยวิธีตกลงราคา [19,367]
10. ซื้อยา 1 รายการ โดยวิธีตกลงราคา [10,432]
11. ซื้อยา 1 รายการ โดยวิธีตกลงราคา [9,576]
12. ซื้อยา 1 รายการ โดยวิธีตกลงราคา [6,805]
13. ซื้อวัสดุการแพทย์ 1 ชุด โดยวิธีตกลงราคา [6,500]</t>
        </is>
      </c>
      <c r="G85" s="5" t="inlineStr">
        <is>
          <t>C</t>
        </is>
      </c>
      <c r="H85" s="6" t="n"/>
      <c r="I85" s="6" t="n"/>
    </row>
    <row r="86">
      <c r="A86" s="5" t="inlineStr">
        <is>
          <t>2558-085</t>
        </is>
      </c>
      <c r="B86" s="5" t="inlineStr">
        <is>
          <t>pre (FY2015)</t>
        </is>
      </c>
      <c r="C86" s="5" t="inlineStr">
        <is>
          <t>องค์การบริหารส่วนตำบลป่าอ้อ</t>
        </is>
      </c>
      <c r="D86" s="5" t="n">
        <v>3</v>
      </c>
      <c r="E86" s="5" t="n">
        <v>916800</v>
      </c>
      <c r="F86" s="5" t="inlineStr">
        <is>
          <t>1. สอบราคาจ้างถนนคอนกรีตเสริมเหล็ก หมู่ที่ 5 บ้านป่าอ้อ (ถนนสายข้างบ้านนายวิสุทธิ์ ฟักเขียว) [308,400]
2. สอบราคาจ้างก่อสร้างถนนคอนกรีตเสริมเหล็กหมู่ที่ 11 บ้านเนินม่วงพัฒนา (จากถนนสาย  เข้าวัดเขาวงหรือสำนักสงฆ์พิชิตธรรมโสภณ [304,200]
3. สอบราคาจ้างก่อสร้างถนนคอนกรีตเสริมเหล็ก หมู่ที่ 4 บ้านเขาน้ำโจน ตำบลป่าอ้อ [304,200]</t>
        </is>
      </c>
      <c r="G86" s="5" t="inlineStr">
        <is>
          <t>A</t>
        </is>
      </c>
      <c r="H86" s="6" t="n"/>
      <c r="I86" s="6" t="n"/>
    </row>
    <row r="87">
      <c r="A87" s="5" t="inlineStr">
        <is>
          <t>2558-086</t>
        </is>
      </c>
      <c r="B87" s="5" t="inlineStr">
        <is>
          <t>pre (FY2015)</t>
        </is>
      </c>
      <c r="C87" s="5" t="inlineStr">
        <is>
          <t>โรงพยาบาลนพรัตนราชธานี</t>
        </is>
      </c>
      <c r="D87" s="5" t="n">
        <v>15</v>
      </c>
      <c r="E87" s="5" t="n">
        <v>1095096</v>
      </c>
      <c r="F87" s="5" t="inlineStr">
        <is>
          <t>1. ซื้อยา BERODUAL FORTE (2129/58) โดยวิธีตกลงราคา [99,296]
2. ซื้อยา CARDEPINE 10MG/10ML INJ (2018/58) โดยวิธีตกลงราคา [99,189]
3. ซื้อยา SINGULAIR 10 MG (2086/58) โดยวิธีตกลงราคา [99,048]
4. ซื้อยา SERETIDE 25/๒๕๐ EVO (ม่วงเข้ม)(2127/58) โดยวิธีตกลงราคา [98,868]
5. ซื้อยา SEVORANE 250 ML (2012/58) โดยวิธีตกลงราคา [98,800]
6. ซื้อยา MOBIC 7.5 MG TAB (2017/58) โดยวิธีตกลงราคา [96,300]
7. ซื้อยา MINIRIN TABLET 0.1 MG (2020/58) โดยวิธีตกลงราคา [96,300]
8. ซื้อยา VESICARE 5 MG (2021/58) โดยวิธีตกลงราคา [96,300]
9. ซื้อยา SALAZOPYRIN EN-TABS 500 MG (2019/58) โดยวิธีตกลงราคา [96,300]
10. ซื้อยา BERODUAL INHALER (2130/58) โดยวิธีตกลงราคา [77,040]
11. ซื้อยา PRISTIQ 50 MG (DESVENLAFAXINE) (2122/58) โดยวิธีตกลงราคา [52,430]
12. ซื้อยา OMNICEF 100 MG CAP (2118/58) โดยวิธีตกลงราคา [47,936]
13. ซื้อยา VIDISIC EYE GEL 10 GM (2131/58) โดยวิธีตกลงราคา [17,976]
14. ซื้อยา NSS/2 (0.45%) 1000 CC (2123/58) โดยวิธีตกลงราคา [12,412]
15. ซื้อยา HAD VINCRISTIN 2 MG INJ (2073/58) โดยวิธีตกลงราคา [6,902]</t>
        </is>
      </c>
      <c r="G87" s="5" t="inlineStr">
        <is>
          <t>B</t>
        </is>
      </c>
      <c r="H87" s="6" t="n"/>
      <c r="I87" s="6" t="n"/>
    </row>
    <row r="88">
      <c r="A88" s="5" t="inlineStr">
        <is>
          <t>2558-087</t>
        </is>
      </c>
      <c r="B88" s="5" t="inlineStr">
        <is>
          <t>pre (FY2015)</t>
        </is>
      </c>
      <c r="C88" s="5" t="inlineStr">
        <is>
          <t>โรงพยาบาลเชียงรายประชานุเคราะห์</t>
        </is>
      </c>
      <c r="D88" s="5" t="n">
        <v>7</v>
      </c>
      <c r="E88" s="5" t="n">
        <v>602855</v>
      </c>
      <c r="F88" s="5" t="inlineStr">
        <is>
          <t>1. ซื้อLEUPRORELIN ACETATE 3.75 MG โดยวิธีตกลงราคา [99,917]
2. ซื้อTRIPLE BAG 450 ML โดยวิธีตกลงราคา [98,975]
3. ซื้อCetuximab Erbitux 5mg/ml 20 ml inj โดยวิธีตกลงราคา [98,440]
4. ซื้อSYMBICORT TURBUHALER 60 DOSE โดยวิธีตกลงราคา [97,370]
5. ซื้อMycophenolate Mofetil 250 Mg Capsule โดยวิธีตกลงราคา [96,913]
6. ซื้อเลนส์แก้วตาเทียม ชนิดอ่อนพับได้ โดยวิธีตกลงราคา [90,000]
7. ซื้อTOBRAMYCIN 0.3% OPHTHALMIC SOL โดยวิธีตกลงราคา [21,240]</t>
        </is>
      </c>
      <c r="G88" s="5" t="inlineStr">
        <is>
          <t>B</t>
        </is>
      </c>
      <c r="H88" s="6" t="n"/>
      <c r="I88" s="6" t="n"/>
    </row>
    <row r="89">
      <c r="A89" s="5" t="inlineStr">
        <is>
          <t>2558-088</t>
        </is>
      </c>
      <c r="B89" s="5" t="inlineStr">
        <is>
          <t>pre (FY2015)</t>
        </is>
      </c>
      <c r="C89" s="5" t="inlineStr">
        <is>
          <t>โรงพยาบาลสมเด็จพระพุทธเลิศหล้า</t>
        </is>
      </c>
      <c r="D89" s="5" t="n">
        <v>6</v>
      </c>
      <c r="E89" s="5" t="n">
        <v>537675</v>
      </c>
      <c r="F89" s="5" t="inlineStr">
        <is>
          <t>1. ซื้อเวชภัณฑ์จำนวน 1 รายการ โดยวิธีตกลงราคา [98,975]
2. ซื้อเวชภัณฑ์จำนวน 1 รายการ โดยวิธีตกลงราคา [96,300]
3. ซื้อเวชภัณฑ์จำนวน 1 รายการ โดยวิธีตกลงราคา [94,160]
4. ซื้อเวชภัณฑ์จำนวน 1 รายการ โดยวิธีตกลงราคา [94,160]
5. ซื้อเวชภัณฑ์จำนวน 1 รายการ โดยวิธีตกลงราคา [85,600]
6. ซื้อเวชภัณฑ์จำนวน 1 รายการ โดยวิธีตกลงราคา [68,480]</t>
        </is>
      </c>
      <c r="G89" s="5" t="inlineStr">
        <is>
          <t>C</t>
        </is>
      </c>
      <c r="H89" s="6" t="n"/>
      <c r="I89" s="6" t="n"/>
    </row>
    <row r="90">
      <c r="A90" s="5" t="inlineStr">
        <is>
          <t>2558-089</t>
        </is>
      </c>
      <c r="B90" s="5" t="inlineStr">
        <is>
          <t>pre (FY2015)</t>
        </is>
      </c>
      <c r="C90" s="5" t="inlineStr">
        <is>
          <t>การไฟฟ้าส่วนภูมิภาค</t>
        </is>
      </c>
      <c r="D90" s="5" t="n">
        <v>3</v>
      </c>
      <c r="E90" s="5" t="n">
        <v>636200</v>
      </c>
      <c r="F90" s="5" t="inlineStr">
        <is>
          <t>1. ซื้อภส.0105/58 จัดซื้อ CARDURA XL โดยวิธีตกลงราคา [235,200]
2. ซื้อภส.0103/58 จัดซื้อ ATORVASTATIN SANDOZ 20 MG โดยวิธีตกลงราคา [212,000]
3. ซื้อภส.0100/58 จัดซื้อ SUPRALIP 145 MG โดยวิธีตกลงราคา [189,000]</t>
        </is>
      </c>
      <c r="G90" s="5" t="inlineStr">
        <is>
          <t>B</t>
        </is>
      </c>
      <c r="H90" s="6" t="n"/>
      <c r="I90" s="6" t="n"/>
    </row>
    <row r="91">
      <c r="A91" s="5" t="inlineStr">
        <is>
          <t>2558-090</t>
        </is>
      </c>
      <c r="B91" s="5" t="inlineStr">
        <is>
          <t>pre (FY2015)</t>
        </is>
      </c>
      <c r="C91" s="5" t="inlineStr">
        <is>
          <t>มหาวิทยาลัยเชียงใหม่</t>
        </is>
      </c>
      <c r="D91" s="5" t="n">
        <v>7</v>
      </c>
      <c r="E91" s="5" t="n">
        <v>1129189</v>
      </c>
      <c r="F91" s="5" t="inlineStr">
        <is>
          <t>1. ซื้อวัสดุการแพทย์  11 รายการ  (วิธีพิเศษ) โดยวิธีตกลงราคา [369,378]
2. ซื้อวัสดุการแพทมย์  10 รายการ  (วิธีพิเศษ) โดยวิธีตกลงราคา [271,143]
3. ซื้อวัสดุของใช้ในการแพทย์ (เวชภัณฑ์)  จำนวน  1   รายการ โดยวิธีพิเศษ [172,698]
4. ซื้อวัสดุของใช้ในการแพทย์ (เวชภัณฑ์)  จำนวน  1   รายการ โดยวิธีพิเศษ [100,580]
5. ซื้อวัสดุของใช้ในการแพทย์ (เวชภัณฑ์)  จำนวน  1  รายการ โดยวิธีตกลงราคา [96,300]
6. ซื้อวัสดุของใช้ในการแพทย์ (เวชภัณฑ์)  จำนวน  1  รายการ โดยวิธีตกลงราคา [63,558]
7. ซื้อวัสดุของใช้ในการแพทย์ (เวชภัณฑ์)  จำนวน  1  รายการ โดยวิธีตกลงราคา [55,533]</t>
        </is>
      </c>
      <c r="G91" s="5" t="inlineStr">
        <is>
          <t>C</t>
        </is>
      </c>
      <c r="H91" s="6" t="n"/>
      <c r="I91" s="6" t="n"/>
    </row>
    <row r="92">
      <c r="A92" s="5" t="inlineStr">
        <is>
          <t>2558-091</t>
        </is>
      </c>
      <c r="B92" s="5" t="inlineStr">
        <is>
          <t>pre (FY2015)</t>
        </is>
      </c>
      <c r="C92" s="5" t="inlineStr">
        <is>
          <t>โรงพยาบาลชลบุรี</t>
        </is>
      </c>
      <c r="D92" s="5" t="n">
        <v>8</v>
      </c>
      <c r="E92" s="5" t="n">
        <v>511362</v>
      </c>
      <c r="F92" s="5" t="inlineStr">
        <is>
          <t>1. ซื้อTEGADERM 6 X 7 CM (PU) PIECE จำนวน 112 กล่อง โดยวิธีตกลงราคา [99,228]
2. ซื้อยานอกบัญชียาหลักแห่งชาติ ยา Manidipine 20 mg. Tablet จำนวน 79 กล่อง โดยวิธีตกลงราคา [98,900]
3. ซื้อ(ZM๐๔๕๐๖๓)GUIDE WIRE PTCA RUNTHROUGH จำนวน ๓๐ เส้น โดยวิธีตกลงราคา [96,300]
4. ซื้อยาในบัญชียาหลักแห่งชาติ ยา Fosfomycin 2 gm. Injection จำนวน 400 Vial โดยวิธีตกลงราคา [94,160]
5. ซื้อยาในบัญชียาหลักแห่งชาติ ยา Mometasone 0.1% 5 gm. Cream จำนวน 1,400 หลอด โดยวิธีตกลงราคา [70,644]
6. ซื้อ(ZM๐๕๔๒๒๔) PCN BAG (Capacity ๘๐๐ ml.) จำนวน ๑๐๐ ชิ้น โดยวิธีตกลงราคา [19,260]
7. ซื้อยานอกบัญชียาหลักแห่งชาติ ยา Somatoprin 8 mg. Injection จำนวน 2 Vial โดยวิธีตกลงราคา [17,890]
8. ซื้อMICROPORE 1/2 (PU) ROLL จำนวน 50 กล่อง โดยวิธีตกลงราคา [14,980]</t>
        </is>
      </c>
      <c r="G92" s="5" t="inlineStr">
        <is>
          <t>B</t>
        </is>
      </c>
      <c r="H92" s="6" t="n"/>
      <c r="I92" s="6" t="n"/>
    </row>
    <row r="93">
      <c r="A93" s="5" t="inlineStr">
        <is>
          <t>2558-092</t>
        </is>
      </c>
      <c r="B93" s="5" t="inlineStr">
        <is>
          <t>pre (FY2015)</t>
        </is>
      </c>
      <c r="C93" s="5" t="inlineStr">
        <is>
          <t>กองทัพบก</t>
        </is>
      </c>
      <c r="D93" s="5" t="n">
        <v>2</v>
      </c>
      <c r="E93" s="5" t="n">
        <v>524200</v>
      </c>
      <c r="F93" s="5" t="inlineStr">
        <is>
          <t>1. ประกวดราคาจ้างเผยแพร่พระราชกรณียกิจของสถาบันพระมหากษัตริย์ทางสื่อโทรทัศน์ โดยวิธีประกวดราคาอิเล็กทรอนิกส์ (e-bidding) [385,200]
2. ประกวดราคาจ้างเผยแพร่พระราชกรณียกิจของสถาบันพระมหากษัตริย์ทางสื่อวิทยุ โดยวิธีประกวดราคาอิเล็กทรอนิกส์ (e-bidding) [139,000]</t>
        </is>
      </c>
      <c r="G93" s="5" t="inlineStr">
        <is>
          <t>A</t>
        </is>
      </c>
      <c r="H93" s="6" t="n"/>
      <c r="I93" s="6" t="n"/>
    </row>
    <row r="94">
      <c r="A94" s="5" t="inlineStr">
        <is>
          <t>2558-093</t>
        </is>
      </c>
      <c r="B94" s="5" t="inlineStr">
        <is>
          <t>pre (FY2015)</t>
        </is>
      </c>
      <c r="C94" s="5" t="inlineStr">
        <is>
          <t>สำนักงานตำรวจแห่งชาติ</t>
        </is>
      </c>
      <c r="D94" s="5" t="n">
        <v>12</v>
      </c>
      <c r="E94" s="5" t="n">
        <v>720919</v>
      </c>
      <c r="F94" s="5" t="inlineStr">
        <is>
          <t>1. เช่าเครื่องถ่ายเอกสาร (44.10.15.01 ) โดยวิธีพิเศษ [68,994]
2. เช่าเครื่องถ่ายเอกสารประจำเดือน เม.ย.58 โดยวิธีพิเศษ [68,976]
3. เช่าเครื่องถ่ายเอกสารเดือน ก.ย.58 โดยวิธีพิเศษ [68,524]
4. เช่าเครื่องถ่ายเอกสารเดือน ส.ค.58 โดยวิธีพิเศษ [65,392]
5. เช่าเครื่องถ่ายเอกสาร (44.10.15.01 ) โดยวิธีพิเศษ [64,742]
6. เช่าเครื่ิองถ่ายเอกสารประจำเดือน ก.พ.2558 โดยวิธีพิเศษ [63,662]
7. เช่าเครื่องถ่ายเอกสาร ประจำเดือน มี.ค.58 โดยวิธีพิเศษ [60,938]
8. เช่าเครื่องถ่ายเอกสารประจำเดือน ธ.ค.2557 โดยวิธีพิเศษ [58,790]
9. เช่าเครื่องถ่ายเอกสารประจำเดือน พ.ย.2557 โดยวิธีพิเศษ [53,209]
10. เช่าเครื่องถ่ายเอกสารประจำเดือน ม.ค.58 โดยวิธีพิเศษ [51,839]
11. เช่าเครื่องถ่ายเอกสารที่ใช้ในราชการเดือน ต.ค.2557 โดยวิธีพิเศษ [50,743]
12. เช่าเครื่องถ่ายเอกสาร (44.10.15.01 ) โดยวิธีพิเศษ [45,110]</t>
        </is>
      </c>
      <c r="G94" s="5" t="inlineStr">
        <is>
          <t>A</t>
        </is>
      </c>
      <c r="H94" s="6" t="n"/>
      <c r="I94" s="6" t="n"/>
    </row>
    <row r="95">
      <c r="A95" s="5" t="inlineStr">
        <is>
          <t>2558-094</t>
        </is>
      </c>
      <c r="B95" s="5" t="inlineStr">
        <is>
          <t>pre (FY2015)</t>
        </is>
      </c>
      <c r="C95" s="5" t="inlineStr">
        <is>
          <t>องค์การบริหารส่วนตำบลพิกุล</t>
        </is>
      </c>
      <c r="D95" s="5" t="n">
        <v>2</v>
      </c>
      <c r="E95" s="5" t="n">
        <v>503550</v>
      </c>
      <c r="F95" s="5" t="inlineStr">
        <is>
          <t>1. สอบราคาจ้างโครงการก่อสร้างถนนคอนกรีตเสริมเหล็ก หมู่ที่ 1 [268,000]
2. สอบราคาจ้างโครงการก่อสร้างถนนคอนกรีตเสริมเหล็ก หมู่ที่ 5 [235,550]</t>
        </is>
      </c>
      <c r="G95" s="5" t="inlineStr">
        <is>
          <t>A</t>
        </is>
      </c>
      <c r="H95" s="6" t="n"/>
      <c r="I95" s="6" t="n"/>
    </row>
    <row r="96">
      <c r="A96" s="5" t="inlineStr">
        <is>
          <t>2558-095</t>
        </is>
      </c>
      <c r="B96" s="5" t="inlineStr">
        <is>
          <t>pre (FY2015)</t>
        </is>
      </c>
      <c r="C96" s="5" t="inlineStr">
        <is>
          <t>โรงพยาบาลมหาสารคาม</t>
        </is>
      </c>
      <c r="D96" s="5" t="n">
        <v>8</v>
      </c>
      <c r="E96" s="5" t="n">
        <v>636000</v>
      </c>
      <c r="F96" s="5" t="inlineStr">
        <is>
          <t>1. ซื้อวัสดุการแพทย์ผ่าตัดตา  12  รายการ โดยวิธีตกลงราคา [96,000]
2. ซื้อวัสดุการแพทย์ผ่าตัดตา  10  รายการ โดยวิธีตกลงราคา [90,000]
3. ซื้อวัสดุการแพทย์ผ่าตัดตา  9  รายการ โดยวิธีตกลงราคา [90,000]
4. ซื้อวัสดุการแพทย์ผ่าตัดตา  10  รายการ โดยวิธีตกลงราคา [90,000]
5. ซื้อวัสดุการแพทย์ผ่าตัดตา  8  รายการ โดยวิธีตกลงราคา [90,000]
6. ซื้อวัสดุการแพทย์ผ่าตัดตา  9  รายการ โดยวิธีตกลงราคา [72,000]
7. ซื้อวัสดุการแพทย์ผ่าตัดตา จำนวน 7 รายการ โดยวิธีตกลงราคา [54,000]
8. ซื้อวัสดุการแพทย์ผ่าตัดตา จำนวน 8 รายการ โดยวิธีตกลงราคา [54,000]</t>
        </is>
      </c>
      <c r="G96" s="5" t="inlineStr">
        <is>
          <t>A</t>
        </is>
      </c>
      <c r="H96" s="6" t="n"/>
      <c r="I96" s="6" t="n"/>
    </row>
    <row r="97">
      <c r="A97" s="5" t="inlineStr">
        <is>
          <t>2558-096</t>
        </is>
      </c>
      <c r="B97" s="5" t="inlineStr">
        <is>
          <t>pre (FY2015)</t>
        </is>
      </c>
      <c r="C97" s="5" t="inlineStr">
        <is>
          <t>เทศบาลตำบลธารน้ำทิพย์</t>
        </is>
      </c>
      <c r="D97" s="5" t="n">
        <v>2</v>
      </c>
      <c r="E97" s="5" t="n">
        <v>541700</v>
      </c>
      <c r="F97" s="5" t="inlineStr">
        <is>
          <t>1. จ้างก่อสร้างรายระบายน้ำชุมชนนารีรัตน์-ลำธารสาธารณะ  กว้าง 1.20 เมตร ลึก 1.20 เมตร ยาว 35.00 เมตร หมู่ที่ 2 ตำบลธารน้ำทิพย์ อำเภอเบตง จังหวัดยะลา โดยวิธีพิเศษ [346,700]
2. จ้างก่อสร้างถนนคอนกรีตเสริมเหล็กภายในหมู่บ้าน ถนนสายวิทยา กว้าง 4.00 เมตร ยาว 60.00 เมตร หรือมีพื้นที่ไม่น้อยกว่า 240.00 ตารางเมตร หมู่ที่ 1  ตำบลธารน้ำทิพย์ อำเภอเบตง  จังหวัดยะลา โดยวิธีพิเศษ [195,000]</t>
        </is>
      </c>
      <c r="G97" s="5" t="inlineStr">
        <is>
          <t>B</t>
        </is>
      </c>
      <c r="H97" s="6" t="n"/>
      <c r="I97" s="6" t="n"/>
    </row>
    <row r="98">
      <c r="A98" s="5" t="inlineStr">
        <is>
          <t>2558-097</t>
        </is>
      </c>
      <c r="B98" s="5" t="inlineStr">
        <is>
          <t>pre (FY2015)</t>
        </is>
      </c>
      <c r="C98" s="5" t="inlineStr">
        <is>
          <t>กรมชลประทาน</t>
        </is>
      </c>
      <c r="D98" s="5" t="n">
        <v>3</v>
      </c>
      <c r="E98" s="5" t="n">
        <v>588690</v>
      </c>
      <c r="F98" s="5" t="inlineStr">
        <is>
          <t>1. ซื้อน้ำมันดีเซลสำหรับเครื่องยนต์หมุนเร็ว (รวม 1 รายการ) โดยวิธีพิเศษ [252,450]
2. ซื้อน้ำมันดีเซลสำหรับเครื่องยนต์หมุนเร็ว (รวม 1 รายการ) โดยวิธีพิเศษ [252,360]
3. ซื้อน้ำมันดีเซลหมุนเร็ว(มอก.๑๒๖๗-๒๕๔๔) โดยวิธีตกลงราคา [83,880]</t>
        </is>
      </c>
      <c r="G98" s="5" t="inlineStr">
        <is>
          <t>A</t>
        </is>
      </c>
      <c r="H98" s="6" t="n"/>
      <c r="I98" s="6" t="n"/>
    </row>
    <row r="99">
      <c r="A99" s="5" t="inlineStr">
        <is>
          <t>2558-098</t>
        </is>
      </c>
      <c r="B99" s="5" t="inlineStr">
        <is>
          <t>pre (FY2015)</t>
        </is>
      </c>
      <c r="C99" s="5" t="inlineStr">
        <is>
          <t>โรงพยาบาลอุตรดิตถ์</t>
        </is>
      </c>
      <c r="D99" s="5" t="n">
        <v>19</v>
      </c>
      <c r="E99" s="5" t="n">
        <v>1255082</v>
      </c>
      <c r="F99" s="5" t="inlineStr">
        <is>
          <t>1. ซื้อยา Ribavirin cap-200 mg กล่อง 42 แคปซูล โดยวิธีตกลงราคา [98,868]
2. ซื้อยา Cetuximab-5mg/ml-20ml โดยวิธีตกลงราคา [98,440]
3. ซื้อยา Dorzolamide HCl 2%+Timolol maleate 0.5% eye drop-5 ml โดยวิธีตกลงราคา [97,370]
4. ซื้อน้ำยา TSH โดยวิธีตกลงราคา [93,090]
5. ซื้อน้ำยา T3 โดยวิธีตกลงราคา [93,090]
6. ซื้อยา Testosterone undecanoate cap-40 mg กล่อง 60 แคปซูล โดยวิธีตกลงราคา [92,876]
7. ซื้อยา Clopidogrel tab-75 mg กล่อง 14 เม็ด โดยวิธีตกลงราคา [91,389]
8. ซื้อยา Quetiapine extended-release tab-50 mg กล่อง 60 เม็ด โดยวิธีตกลงราคา [85,600]
9. ซื้อยา Bortezomib inj-1 mg โดยวิธีตกลงราคา [84,102]
10. ซื้อยา Diosmine tab-500 mg กล่อง 30 เม็ด โดยวิธีตกลงราคา [82,818]
11. ซื้อยา Ceditoren pivoxil tab-100 mg กล่อง 100 เม็ด และ Cefditoren Pivoxil 50 mg (potency) Granules-500 mg กล่อง 120 ซอง โดยวิธีตกลงราคา [66,447]
12. ซื้อยา Rituximab inj-100mg/10ml กล่อง 2 ขวด โดยวิธีตกลงราคา [62,524]
13. ซื้อยา Mirtazapine soltab-30 mg กล่อง 30 เม็ด โดยวิธีตกลงราคา [49,755]
14. ซื้อยา Fexofenadine tab-180 mg กล่อง 50 เม็ด โดยวิธีตกลงราคา [47,615]
15. ซื้อยา Candesartan+HCTZ tab-8mg+12.5mg กล่อง 28 เม็ด โดยวิธีตกลงราคา [42,800]
16. ซื้อยา Leflunomide tab-20 mg ขวด 30 เม็ด โดยวิธีตกลงราคา [41,302]
17. ซื้อยา Perindopril Arginine tab-5 mg กล่อง 30 เม็ด โดยวิธีตกลงราคา [12,519]
18. ซื้อยา Testosterone enantate inj-250mg/ml-1ml กล่อง 20 หลอด โดยวิธีตกลงราคา [8,699]
19. ซื้อยา Etomidate inj-20mg/10ml โดยวิธีตกลงราคา [5,778]</t>
        </is>
      </c>
      <c r="G99" s="5" t="inlineStr">
        <is>
          <t>B</t>
        </is>
      </c>
      <c r="H99" s="6" t="n"/>
      <c r="I99" s="6" t="n"/>
    </row>
    <row r="100">
      <c r="A100" s="5" t="inlineStr">
        <is>
          <t>2558-099</t>
        </is>
      </c>
      <c r="B100" s="5" t="inlineStr">
        <is>
          <t>pre (FY2015)</t>
        </is>
      </c>
      <c r="C100" s="5" t="inlineStr">
        <is>
          <t>องค์การบริหารส่วนตำบลนากะชะ</t>
        </is>
      </c>
      <c r="D100" s="5" t="n">
        <v>2</v>
      </c>
      <c r="E100" s="5" t="n">
        <v>570000</v>
      </c>
      <c r="F100" s="5" t="inlineStr">
        <is>
          <t>1. สอบราคาจ้างก่อสร้างถนนคอนกรีตเสริมเหล็กสายโคกพยอม หมู่ที่ 3 ตำบลนากะชะ อำเภอฉวาง จังหวัดนครศรีธรรมราช [297,500]
2. สอบราคาจ้างก่อสร้างถนนคอนกรีตเสริมเหล็กสายไทรงาม หมู่ที่ 6 ตำบลนากะชะ อำเภอฉวาง จังหวัดนครศรีธรรมราช [272,500]</t>
        </is>
      </c>
      <c r="G100" s="5" t="inlineStr">
        <is>
          <t>A</t>
        </is>
      </c>
      <c r="H100" s="6" t="n"/>
      <c r="I100" s="6" t="n"/>
    </row>
    <row r="101">
      <c r="A101" s="5" t="inlineStr">
        <is>
          <t>2558-100</t>
        </is>
      </c>
      <c r="B101" s="5" t="inlineStr">
        <is>
          <t>pre (FY2015)</t>
        </is>
      </c>
      <c r="C101" s="5" t="inlineStr">
        <is>
          <t>องค์การบริหารส่วนตำบลลาดกระทิง</t>
        </is>
      </c>
      <c r="D101" s="5" t="n">
        <v>3</v>
      </c>
      <c r="E101" s="5" t="n">
        <v>1470000</v>
      </c>
      <c r="F101" s="5" t="inlineStr">
        <is>
          <t>1. สอบราคาจ้างโครงการก่อสร้างถนนลาดยางแบบเคพซีล สายสามแยก (สาย กม.7-หนองสร้อยติ่ง) - กลุ่มบ้านนางเป๋า หมู่ที่ 6 ตำบลลาดกระทิง [490,000]
2. สอบราคาจ้างโครงการก่อสร้างถนนลาดยางแบบเคพซีล สายบ้านนายวิสิทธิ์ ใหม่ปุ้ย หมู่ที่ 2 ตำบลลาดกระทิง [490,000]
3. สอบราคาจ้างโครงการก่อสร้างถนนลาดยางแบบเคพซีล สายบ้านนายมานพ รัตนานนท์ หมู่ที่ 4 ตำบลลาดกระทิง [490,000]</t>
        </is>
      </c>
      <c r="G101" s="5" t="inlineStr">
        <is>
          <t>A</t>
        </is>
      </c>
      <c r="H101" s="6" t="n"/>
      <c r="I101" s="6" t="n"/>
    </row>
    <row r="102">
      <c r="A102" s="5" t="inlineStr">
        <is>
          <t>2561-001</t>
        </is>
      </c>
      <c r="B102" s="5" t="inlineStr">
        <is>
          <t>post-Act</t>
        </is>
      </c>
      <c r="C102" s="5" t="inlineStr">
        <is>
          <t>โรงพยาบาลหาดใหญ่</t>
        </is>
      </c>
      <c r="D102" s="5" t="n">
        <v>2</v>
      </c>
      <c r="E102" s="5" t="n">
        <v>512511</v>
      </c>
      <c r="F102" s="5" t="inlineStr">
        <is>
          <t>1. ซื้อFACTOR 8 INJ 250 IU จำนวน 190 x 1 VIAL มูลค่า 499,711.40 บาท (ใบสั่งซื้อเลขที่ 6106799) โดยวิธีเฉพาะเจาะจง [499,711]
2. ซื้อTUBERCULIN PPD 100 IU/ML จำนวน 4 x 10 AMP มูลค่า 12,800.00 บาท (ใบสั่งซื้อเลขที่ 6106828) โดยวิธีเฉพาะเจาะจง [12,800]</t>
        </is>
      </c>
      <c r="G102" s="5" t="inlineStr">
        <is>
          <t>B</t>
        </is>
      </c>
      <c r="H102" s="6" t="n"/>
      <c r="I102" s="6" t="n"/>
    </row>
    <row r="103">
      <c r="A103" s="5" t="inlineStr">
        <is>
          <t>2561-002</t>
        </is>
      </c>
      <c r="B103" s="5" t="inlineStr">
        <is>
          <t>post-Act</t>
        </is>
      </c>
      <c r="C103" s="5" t="inlineStr">
        <is>
          <t>โรงพยาบาลมหาราชนครศรีธรรมราช</t>
        </is>
      </c>
      <c r="D103" s="5" t="n">
        <v>10</v>
      </c>
      <c r="E103" s="5" t="n">
        <v>792326</v>
      </c>
      <c r="F103" s="5" t="inlineStr">
        <is>
          <t>1. ซื้อยา 1 รายการ โดยวิธีเฉพาะเจาะจง [100,000]
2. ซื้อยา 1 รายการ โดยวิธีเฉพาะเจาะจง [99,450]
3. ซื้อยา 1 รายการ โดยวิธีเฉพาะเจาะจง [99,000]
4. ซื้อยา 1 รายการ โดยวิธีเฉพาะเจาะจง [99,000]
5. ซื้อยา 1 รายการ โดยวิธีเฉพาะเจาะจง [99,000]
6. ซื้อยา 1 รายการ โดยวิธีเฉพาะเจาะจง [99,000]
7. ซื้อยา 1 รายการ โดยวิธีเฉพาะเจาะจง [66,500]
8. ซื้อยา 1 รายการ โดยวิธีเฉพาะเจาะจง [64,542]
9. ซื้อยา 1 รายการ โดยวิธีเฉพาะเจาะจง [58,100]
10. ซื้อยา 1 รายการ โดยวิธีเฉพาะเจาะจง [7,733]</t>
        </is>
      </c>
      <c r="G103" s="5" t="inlineStr">
        <is>
          <t>C</t>
        </is>
      </c>
      <c r="H103" s="6" t="n"/>
      <c r="I103" s="6" t="n"/>
    </row>
    <row r="104">
      <c r="A104" s="5" t="inlineStr">
        <is>
          <t>2561-003</t>
        </is>
      </c>
      <c r="B104" s="5" t="inlineStr">
        <is>
          <t>post-Act</t>
        </is>
      </c>
      <c r="C104" s="5" t="inlineStr">
        <is>
          <t>เทศบาลตำบลท่าวังทอง</t>
        </is>
      </c>
      <c r="D104" s="5" t="n">
        <v>4</v>
      </c>
      <c r="E104" s="5" t="n">
        <v>1181000</v>
      </c>
      <c r="F104" s="5" t="inlineStr">
        <is>
          <t>1. จ้างก่อสร้างรางระบายน้ำ คสล. สายบ้านเจดีย์งาม - บ้านสันป่าเป้า  หมู่ที่ ๑๔  ตำบลท่าวังทอง อำเภอเมืองพะเยา  จังหวัดพะเยา โดยวิธีเฉพาะเจาะจง [313,000]
2. จ้างก่อสร้างรางระบายน้ำ คสล. ซอยท่าวังทอง ๑๓  หมู่ที่ ๑๓  ตำบลท่าวังทอง  อำเภอเมืองพะเยา จังหวัดพะเยา โดยวิธีเฉพาะเจาะจง [310,000]
3. จ้างวางท่อระบายน้ำ คสล. หนองบึง  หมู่ที่ ๔  ตำบลท่าวังทอง อำเภอเมืองพะเยา จังหวัดพะเยา โดยวิธีเฉพาะเจาะจง [294,000]
4. จ้างวางท่อระบายน้ำ คสล. หลังวัดเชียงทอง  หมู่ที่ ๘  ตำบลท่าวังทอง อำเภอเมืองพะเยา  จังหวัดพะเยา โดยวิธีเฉพาะเจาะจง [264,000]</t>
        </is>
      </c>
      <c r="G104" s="5" t="inlineStr">
        <is>
          <t>A</t>
        </is>
      </c>
      <c r="H104" s="6" t="n"/>
      <c r="I104" s="6" t="n"/>
    </row>
    <row r="105">
      <c r="A105" s="5" t="inlineStr">
        <is>
          <t>2561-004</t>
        </is>
      </c>
      <c r="B105" s="5" t="inlineStr">
        <is>
          <t>post-Act</t>
        </is>
      </c>
      <c r="C105" s="5" t="inlineStr">
        <is>
          <t>เทศบาลเมืองหนองสำโรง</t>
        </is>
      </c>
      <c r="D105" s="5" t="n">
        <v>3</v>
      </c>
      <c r="E105" s="5" t="n">
        <v>888000</v>
      </c>
      <c r="F105" s="5" t="inlineStr">
        <is>
          <t>1. จ้างโครงการก่อสร้างวางท่อระบายน้ำ คสล. Dia 0.40 ม. พร้อมขยายผิวจราจร คสล.สายซอยบูรพา 1 (ขวาทาง) ชุมชนอุดมสถาพร โดยวิธีเฉพาะเจาะจง [378,000]
2. จ้างโครงการก่อสร้างวางท่อระบายน้ำ คสล.Dia 0.40 ม. พร้อมขยายผิวจราจร คสล.สายซอยประชานิมิตร 10 ชุมชนไทยสมุทร 1 หมู่ 2 ตำบลบ้านเลื่อม โดยวิธีเฉพาะเจาะจง [366,000]
3. จ้างโครงการวางท่อระบายน้ำ คสล. Dia 0.40 ม. สายซอยสุวรรณเจริญ 1 ชุมชนหนองแวงพัฒนา หมู่ 5 ตำบลบ้านเลื่อม โดยวิธีเฉพาะเจาะจง [144,000]</t>
        </is>
      </c>
      <c r="G105" s="5" t="inlineStr">
        <is>
          <t>A</t>
        </is>
      </c>
      <c r="H105" s="6" t="n"/>
      <c r="I105" s="6" t="n"/>
    </row>
    <row r="106">
      <c r="A106" s="5" t="inlineStr">
        <is>
          <t>2561-005</t>
        </is>
      </c>
      <c r="B106" s="5" t="inlineStr">
        <is>
          <t>post-Act</t>
        </is>
      </c>
      <c r="C106" s="5" t="inlineStr">
        <is>
          <t>กองทัพเรือ</t>
        </is>
      </c>
      <c r="D106" s="5" t="n">
        <v>2</v>
      </c>
      <c r="E106" s="5" t="n">
        <v>800000</v>
      </c>
      <c r="F106" s="5" t="inlineStr">
        <is>
          <t>1. ซื้ออะไหล่รถยนต์ รวม 128 รายการ โดยวิธีเฉพาะเจาะจง [500,000]
2. ซื้ออะไหล่รถยนต์ รวม 113 รายการ โดยวิธีเฉพาะเจาะจง [300,000]</t>
        </is>
      </c>
      <c r="G106" s="5" t="inlineStr">
        <is>
          <t>A</t>
        </is>
      </c>
      <c r="H106" s="6" t="n"/>
      <c r="I106" s="6" t="n"/>
    </row>
    <row r="107">
      <c r="A107" s="5" t="inlineStr">
        <is>
          <t>2561-006</t>
        </is>
      </c>
      <c r="B107" s="5" t="inlineStr">
        <is>
          <t>post-Act</t>
        </is>
      </c>
      <c r="C107" s="5" t="inlineStr">
        <is>
          <t>เทศบาลตำบลเกาะคา</t>
        </is>
      </c>
      <c r="D107" s="5" t="n">
        <v>2</v>
      </c>
      <c r="E107" s="5" t="n">
        <v>505500</v>
      </c>
      <c r="F107" s="5" t="inlineStr">
        <is>
          <t>1. จ้างโครงการปรับปรุงอาคารสำนักงานเทศบาลตำบลเกาะคา ต.ศาลา อ.เกาะคา จ.ลำปาง โดยวิธีเฉพาะเจาะจง [447,000]
2. จ้างโครงการปรับปรุงศูนย์พัฒนาเด็กเล็ก เทศบาตำบลเกาะคา บริเวณอาคารศูนย์พัฒนาเด็กเล็ก เทศบาลตำบลเกาะคา ต.ศาลา อ.เกาะคา จ.ลำปาง โดยวิธีเฉพาะเจาะจง [58,500]</t>
        </is>
      </c>
      <c r="G107" s="5" t="inlineStr">
        <is>
          <t>B</t>
        </is>
      </c>
      <c r="H107" s="6" t="n"/>
      <c r="I107" s="6" t="n"/>
    </row>
    <row r="108">
      <c r="A108" s="5" t="inlineStr">
        <is>
          <t>2561-007</t>
        </is>
      </c>
      <c r="B108" s="5" t="inlineStr">
        <is>
          <t>post-Act</t>
        </is>
      </c>
      <c r="C108" s="5" t="inlineStr">
        <is>
          <t>การไฟฟ้าส่วนภูมิภาค</t>
        </is>
      </c>
      <c r="D108" s="5" t="n">
        <v>2</v>
      </c>
      <c r="E108" s="5" t="n">
        <v>810605</v>
      </c>
      <c r="F108" s="5" t="inlineStr">
        <is>
          <t>1. ซื้อผลิตภัณฑ์คอนกรีต เพื่อใช้งานโครงการ คพจ.1 7 รายการ โดยวิธีเฉพาะเจาะจง [497,673]
2. ซื้อผลิตภัณฑ์คอนกรีต เพื่อใช้งานโครงการ คพจ.1 โดยวิธีเฉพาะเจาะจง [312,932]</t>
        </is>
      </c>
      <c r="G108" s="5" t="inlineStr">
        <is>
          <t>A</t>
        </is>
      </c>
      <c r="H108" s="6" t="n"/>
      <c r="I108" s="6" t="n"/>
    </row>
    <row r="109">
      <c r="A109" s="5" t="inlineStr">
        <is>
          <t>2561-008</t>
        </is>
      </c>
      <c r="B109" s="5" t="inlineStr">
        <is>
          <t>post-Act</t>
        </is>
      </c>
      <c r="C109" s="5" t="inlineStr">
        <is>
          <t>องค์การบริหารส่วนตำบลหนองปลาหมอ</t>
        </is>
      </c>
      <c r="D109" s="5" t="n">
        <v>2</v>
      </c>
      <c r="E109" s="5" t="n">
        <v>772000</v>
      </c>
      <c r="F109" s="5" t="inlineStr">
        <is>
          <t>1. จ้างโครงการก่อสร้างถนนลาดยางผิวทางแอสฟัสท์ติกคอนกรีต หมู่ที่ 4 บ้านหนองปลาหมอ              ตำบลหนองปลาหมอ  อำเภอหนองแค  จังหวัดสระบุรี โดยวิธีเฉพาะเจาะจง [478,000]
2. จ้างก่อสร้างถนนลาดยางผิวเเอสฟัสท์ติกคอนกรีต หมู่ที่ 4 บ้านหนองปลาหมอ ตำบลหนองปลาหมอ อำเภอหนองเเค จังหวัดสระบุรี โดยวิธีเฉพาะเจาะจง [294,000]</t>
        </is>
      </c>
      <c r="G109" s="5" t="inlineStr">
        <is>
          <t>A</t>
        </is>
      </c>
      <c r="H109" s="6" t="n"/>
      <c r="I109" s="6" t="n"/>
    </row>
    <row r="110">
      <c r="A110" s="5" t="inlineStr">
        <is>
          <t>2561-009</t>
        </is>
      </c>
      <c r="B110" s="5" t="inlineStr">
        <is>
          <t>post-Act</t>
        </is>
      </c>
      <c r="C110" s="5" t="inlineStr">
        <is>
          <t>กองทัพบก</t>
        </is>
      </c>
      <c r="D110" s="5" t="n">
        <v>2</v>
      </c>
      <c r="E110" s="5" t="n">
        <v>530380</v>
      </c>
      <c r="F110" s="5" t="inlineStr">
        <is>
          <t>1. ซื้อวัสดุในการดำเนินการโครงการอนุรักษ์ทรัพยากรธรรมชาติและสัตว์ป่า โดยวิธีเฉพาะเจาะจง [453,880]
2. จ้างผลิตแผ่นภาพประชาสัมพันธ์และป้ายนิทรรศการ โดยวิธีเฉพาะเจาะจง [76,500]</t>
        </is>
      </c>
      <c r="G110" s="5" t="inlineStr">
        <is>
          <t>B</t>
        </is>
      </c>
      <c r="H110" s="6" t="n"/>
      <c r="I110" s="6" t="n"/>
    </row>
    <row r="111">
      <c r="A111" s="5" t="inlineStr">
        <is>
          <t>2561-010</t>
        </is>
      </c>
      <c r="B111" s="5" t="inlineStr">
        <is>
          <t>post-Act</t>
        </is>
      </c>
      <c r="C111" s="5" t="inlineStr">
        <is>
          <t>มหาวิทยาลัยการกีฬาแห่งชาติ</t>
        </is>
      </c>
      <c r="D111" s="5" t="n">
        <v>3</v>
      </c>
      <c r="E111" s="5" t="n">
        <v>645000</v>
      </c>
      <c r="F111" s="5" t="inlineStr">
        <is>
          <t>1. จ้างทำเหรียญรางวัลพร้อมสายคล้องคอ โดยวิธีเฉพาะเจาะจง [495,000]
2. จ้างทำเกียรติบัตร โดยวิธีเฉพาะเจาะจง [142,500]
3. จ้างทำถ้วยรางวัล โดยวิธีเฉพาะเจาะจง [7,500]</t>
        </is>
      </c>
      <c r="G111" s="5" t="inlineStr">
        <is>
          <t>B</t>
        </is>
      </c>
      <c r="H111" s="6" t="n"/>
      <c r="I111" s="6" t="n"/>
    </row>
    <row r="112">
      <c r="A112" s="5" t="inlineStr">
        <is>
          <t>2561-011</t>
        </is>
      </c>
      <c r="B112" s="5" t="inlineStr">
        <is>
          <t>post-Act</t>
        </is>
      </c>
      <c r="C112" s="5" t="inlineStr">
        <is>
          <t>องค์การบริหารส่วนตำบลหนองฮะ</t>
        </is>
      </c>
      <c r="D112" s="5" t="n">
        <v>2</v>
      </c>
      <c r="E112" s="5" t="n">
        <v>567000</v>
      </c>
      <c r="F112" s="5" t="inlineStr">
        <is>
          <t>1. จ้างโครงการปรับปรุงถนนดินลงหินคลุกสายหนองขุนไกร บ้านขอนแก่น หมู่ที่ 6 โดยวิธีเฉพาะเจาะจง [300,000]
2. จ้างโครงการเสริมสร้างงานดินลงหินคลุก สายหนองคู-จังเกา หมุ่ที่ 7 โดยวิธีเฉพาะเจาะจง [267,000]</t>
        </is>
      </c>
      <c r="G112" s="5" t="inlineStr">
        <is>
          <t>A</t>
        </is>
      </c>
      <c r="H112" s="6" t="n"/>
      <c r="I112" s="6" t="n"/>
    </row>
    <row r="113">
      <c r="A113" s="5" t="inlineStr">
        <is>
          <t>2561-012</t>
        </is>
      </c>
      <c r="B113" s="5" t="inlineStr">
        <is>
          <t>post-Act</t>
        </is>
      </c>
      <c r="C113" s="5" t="inlineStr">
        <is>
          <t>กรมชลประทาน</t>
        </is>
      </c>
      <c r="D113" s="5" t="n">
        <v>2</v>
      </c>
      <c r="E113" s="5" t="n">
        <v>515700</v>
      </c>
      <c r="F113" s="5" t="inlineStr">
        <is>
          <t>1. ซื้อน้ำมันเชื้อเพลิง โดยวิธีเฉพาะเจาะจง [258,840]
2. ซื้อน้ำมันเชื้อเพลิง โดยวิธีเฉพาะเจาะจง [256,860]</t>
        </is>
      </c>
      <c r="G113" s="5" t="inlineStr">
        <is>
          <t>A</t>
        </is>
      </c>
      <c r="H113" s="6" t="n"/>
      <c r="I113" s="6" t="n"/>
    </row>
    <row r="114">
      <c r="A114" s="5" t="inlineStr">
        <is>
          <t>2561-013</t>
        </is>
      </c>
      <c r="B114" s="5" t="inlineStr">
        <is>
          <t>post-Act</t>
        </is>
      </c>
      <c r="C114" s="5" t="inlineStr">
        <is>
          <t>กรมการพัฒนาชุมชน</t>
        </is>
      </c>
      <c r="D114" s="5" t="n">
        <v>2</v>
      </c>
      <c r="E114" s="5" t="n">
        <v>600000</v>
      </c>
      <c r="F114" s="5" t="inlineStr">
        <is>
          <t>1. จ้างชุมชนท่องเที่ยว otop นวัตวิถี กิจกรรมที่ 2.1 ปรับปรุงภูมิทัศน์  บ้านหนองแซงสร้อย โดยวิธีเฉพาะเจาะจง [400,000]
2. จ้างชุมชนท่องเที่ยว OTOP นวัตวิถี กิจกรรมพัฒนาออกแบบกิจกรรมเชื่อมโยงการท่องเที่ยวระดับหมู่บ้าน บ้านหนองแซงสร้อย โดยวิธีเฉพาะเจาะจง [200,000]</t>
        </is>
      </c>
      <c r="G114" s="5" t="inlineStr">
        <is>
          <t>B</t>
        </is>
      </c>
      <c r="H114" s="6" t="n"/>
      <c r="I114" s="6" t="n"/>
    </row>
    <row r="115">
      <c r="A115" s="5" t="inlineStr">
        <is>
          <t>2561-014</t>
        </is>
      </c>
      <c r="B115" s="5" t="inlineStr">
        <is>
          <t>post-Act</t>
        </is>
      </c>
      <c r="C115" s="5" t="inlineStr">
        <is>
          <t>สำนักงานปลัดกระทรวงเกษตรและสหกรณ์</t>
        </is>
      </c>
      <c r="D115" s="5" t="n">
        <v>2</v>
      </c>
      <c r="E115" s="5" t="n">
        <v>512910</v>
      </c>
      <c r="F115" s="5" t="inlineStr">
        <is>
          <t>1. ซื้อวัสดุการเกษตร โครงการส่งเสริมการทำการเกษตรแบบผสมผสานตามหลักปรัชญาเศรษฐกิจพอเพียง โดยวิธีเฉพาะเจาะจง [341,200]
2. ซื้อวัสดุการเกษตร โครงการส่งเสริมการทำการเกษตรแบบผสมผสานตามหลักปรัชญาเศรษฐกิจพอเพียง อำเภอศรีสงคราม โดยวิธีเฉพาะเจาะจง [171,710]</t>
        </is>
      </c>
      <c r="G115" s="5" t="inlineStr">
        <is>
          <t>A</t>
        </is>
      </c>
      <c r="H115" s="6" t="n"/>
      <c r="I115" s="6" t="n"/>
    </row>
    <row r="116">
      <c r="A116" s="5" t="inlineStr">
        <is>
          <t>2561-015</t>
        </is>
      </c>
      <c r="B116" s="5" t="inlineStr">
        <is>
          <t>post-Act</t>
        </is>
      </c>
      <c r="C116" s="5" t="inlineStr">
        <is>
          <t>กรุงเทพมหานคร</t>
        </is>
      </c>
      <c r="D116" s="5" t="n">
        <v>4</v>
      </c>
      <c r="E116" s="5" t="n">
        <v>1883200</v>
      </c>
      <c r="F116" s="5" t="inlineStr">
        <is>
          <t>1. ซื้อน้ำมันดีเซลหมุนเร็ว จำนวน ๑๖,๐๐๐ ลิตร  สถานีจ่ายน้ำมันกรุงเทพมหานครบางแค โดยวิธีเฉพาะเจาะจง [470,800]
2. ซื้อน้ำมันดีเซลหมุนเร็ว จำนวน ๑๖,๐๐๐ ลิตร  สถานีจ่ายน้ำมันกรุงเทพมหานครบางแค โดยวิธีเฉพาะเจาะจง [470,800]
3. ซื้อน้ำมันดีเซลหมุนเร็ว จำนวน ๑๖,๐๐๐ ลิตร  สถานีจ่ายน้ำมันกรุงเทพมหานครบางแค โดยวิธีเฉพาะเจาะจง [470,800]
4. ซื้อน้ำมันดีเซลหมุนเร็ว จำนวน ๑๖,๐๐๐ ลิตร  สถานีจ่ายน้ำมันกรุงเทพมหานครบางแค โดยวิธีเฉพาะเจาะจง [470,800]</t>
        </is>
      </c>
      <c r="G116" s="5" t="inlineStr">
        <is>
          <t>A</t>
        </is>
      </c>
      <c r="H116" s="6" t="n"/>
      <c r="I116" s="6" t="n"/>
    </row>
    <row r="117">
      <c r="A117" s="5" t="inlineStr">
        <is>
          <t>2561-016</t>
        </is>
      </c>
      <c r="B117" s="5" t="inlineStr">
        <is>
          <t>post-Act</t>
        </is>
      </c>
      <c r="C117" s="5" t="inlineStr">
        <is>
          <t>โรงเรียนบ้านเขานันทา</t>
        </is>
      </c>
      <c r="D117" s="5" t="n">
        <v>2</v>
      </c>
      <c r="E117" s="5" t="n">
        <v>638000</v>
      </c>
      <c r="F117" s="5" t="inlineStr">
        <is>
          <t>1. จ้างติดตั้งขยายเขตและปรับปรุงซ่อมแซมระบบไฟฟ้าในโรงเรียน โดยวิธีเฉพาะเจาะจง [319,000]
2. จ้างติดตั้งขยายเขตและปรับปรุงซ่อมแซมระบบไฟฟ้าในโรงเรียน โดยวิธีเฉพาะเจาะจง [319,000]</t>
        </is>
      </c>
      <c r="G117" s="5" t="inlineStr">
        <is>
          <t>A</t>
        </is>
      </c>
      <c r="H117" s="6" t="n"/>
      <c r="I117" s="6" t="n"/>
    </row>
    <row r="118">
      <c r="A118" s="5" t="inlineStr">
        <is>
          <t>2561-017</t>
        </is>
      </c>
      <c r="B118" s="5" t="inlineStr">
        <is>
          <t>post-Act</t>
        </is>
      </c>
      <c r="C118" s="5" t="inlineStr">
        <is>
          <t>โรงพยาบาลศรีสะเกษ</t>
        </is>
      </c>
      <c r="D118" s="5" t="n">
        <v>13</v>
      </c>
      <c r="E118" s="5" t="n">
        <v>617007</v>
      </c>
      <c r="F118" s="5" t="inlineStr">
        <is>
          <t>1. ซื้อเวชภัณฑ์ยา Manidipine tab 20 mg. โดยวิธีเฉพาะเจาะจง [98,515]
2. ซื้อเวชภัณฑ์ยา Piribedil tab 50 mg. โดยวิธีเฉพาะเจาะจง [92,020]
3. ซื้อเวชภัณฑ์ยา Hydroxyethyl Starch inj 6%,500ml. โดยวิธีเฉพาะเจาะจง [89,880]
4. ซื้อเวชภัณฑ์ยา Erythropoietin Alfa. inj 40,000 iu/vial. โดยวิธีเฉพาะเจาะจง [88,168]
5. ซื้อเวชภัณฑ์ยา Lidocaine HCl. Spray spr 10%,50ml. โดยวิธีเฉพาะเจาะจง [57,031]
6. ซื้อเวชภัณฑ์ยา Bevacizumab(จ2) inj 100 mg./4 ml. โดยวิธีเฉพาะเจาะจง [36,380]
7. ซื้อเวชภัณฑ์ที่มิใช่ยา  Micropore 1 นิ้ว 3M โดยวิธีเฉพาะเจาะจง [32,100]
8. ซื้อเวชภัณฑ์ยา Cyclosporine. eye 0.05%0.4ml/nb โดยวิธีเฉพาะเจาะจง [31,000]
9. ซื้อเวชภัณฑ์ที่มิใช่ยา Syringe Tuberculin 26x1/2;1ml.;1x100s โดยวิธีเฉพาะเจาะจง [23,540]
10. ซื้อเวชภัณฑ์ยา Etoposide. inj 100 mg./5 ml. โดยวิธีเฉพาะเจาะจง [21,828]
11. ซื้อเวชภัณฑ์ยา Ramipril tab 5 mg. โดยวิธีเฉพาะเจาะจง [21,614]
12. ซื้อเวชภัณฑ์ยา Fusidic acid eye drops eye 1%,5g. โดยวิธีเฉพาะเจาะจง [14,445]
13. ซื้อเวชภัณฑ์ยา Balance salt sol 1,000 ml. โดยวิธีเฉพาะเจาะจง [10,486]</t>
        </is>
      </c>
      <c r="G118" s="5" t="inlineStr">
        <is>
          <t>B</t>
        </is>
      </c>
      <c r="H118" s="6" t="n"/>
      <c r="I118" s="6" t="n"/>
    </row>
    <row r="119">
      <c r="A119" s="5" t="inlineStr">
        <is>
          <t>2561-018</t>
        </is>
      </c>
      <c r="B119" s="5" t="inlineStr">
        <is>
          <t>post-Act</t>
        </is>
      </c>
      <c r="C119" s="5" t="inlineStr">
        <is>
          <t>กองทัพบก</t>
        </is>
      </c>
      <c r="D119" s="5" t="n">
        <v>3</v>
      </c>
      <c r="E119" s="5" t="n">
        <v>526620</v>
      </c>
      <c r="F119" s="5" t="inlineStr">
        <is>
          <t>1. ซื้อเสบียงสนาม ประจำเดือน ธ.ค.60 โดยวิธีเฉพาะเจาะจง [484,530]
2. ซื้อเสบียงสนาม ประจำเดือน ต.ค.60 โดยวิธีเฉพาะเจาะจง [21,390]
3. ซื้อเสบียงสนามประจำเดือน พ.ย.60 โดยวิธีเฉพาะเจาะจง [20,700]</t>
        </is>
      </c>
      <c r="G119" s="5" t="inlineStr">
        <is>
          <t>A</t>
        </is>
      </c>
      <c r="H119" s="6" t="n"/>
      <c r="I119" s="6" t="n"/>
    </row>
    <row r="120">
      <c r="A120" s="5" t="inlineStr">
        <is>
          <t>2561-019</t>
        </is>
      </c>
      <c r="B120" s="5" t="inlineStr">
        <is>
          <t>post-Act</t>
        </is>
      </c>
      <c r="C120" s="5" t="inlineStr">
        <is>
          <t>โรงพยาบาลศรีสะเกษ</t>
        </is>
      </c>
      <c r="D120" s="5" t="n">
        <v>11</v>
      </c>
      <c r="E120" s="5" t="n">
        <v>540564</v>
      </c>
      <c r="F120" s="5" t="inlineStr">
        <is>
          <t>1. ซื้อเวชภัณฑ์ที่มิใช่ยา Set I.V แบบไม่มีเข็ม Air 202.1x50s โดยวิธีเฉพาะเจาะจง [113,688]
2. ซื้อเวชภัณฑ์ที่มิใช่ยา Syringe Disposable 10ml. 1x100s โดยวิธีเฉพาะเจาะจง [98,975]
3. ซื้อเวชภัณฑ์ที่มิใช่ยา Tegaderm(5X7cm.) Pad  1x50s โดยวิธีเฉพาะเจาะจง [65,270]
4. ซื้อเวชภัณฑ์ที่มิใช่ยา Tegaderm(9X25cm.) Pad  1x25s โดยวิธีเฉพาะเจาะจง [56,336]
5. ซื้อเวชภัณฑ์ที่มิใช่ยา Needle Disposable No.21x1.5นิ้ว1x100s โดยวิธีเฉพาะเจาะจง [52,430]
6. ซื้อเวชภัณฑ์ที่มิใช่ยา Fixomull ( Medipore 4 ) 3M. โดยวิธีเฉพาะเจาะจง [51,360]
7. ซื้อเวชภัณฑ์ที่มิใช่ยา Soluset P-100 (Set Volutone) โดยวิธีเฉพาะเจาะจง [32,100]
8. ซื้อเวชภัณฑ์ที่มิใช่ยา Elastic Bandage 6  15 cm. โดยวิธีเฉพาะเจาะจง [30,816]
9. ซื้อเวชภัณฑ์ที่มิใช่ยา Nylon No.3/0เข็ม 24mm. โดยวิธีเฉพาะเจาะจง [19,260]
10. ซื้อเวชภัณฑ์ที่มิใช่ยา Needle Spinal No.26x3.5 (1x25s) โดยวิธีเฉพาะเจาะจง [10,700]
11. ซื้อเวชภัณฑ์ที่มิใช่ยา Micropore 1/2นิ้ว 3M โดยวิธีเฉพาะเจาะจง [9,630]</t>
        </is>
      </c>
      <c r="G120" s="5" t="inlineStr">
        <is>
          <t>B</t>
        </is>
      </c>
      <c r="H120" s="6" t="n"/>
      <c r="I120" s="6" t="n"/>
    </row>
    <row r="121">
      <c r="A121" s="5" t="inlineStr">
        <is>
          <t>2561-020</t>
        </is>
      </c>
      <c r="B121" s="5" t="inlineStr">
        <is>
          <t>post-Act</t>
        </is>
      </c>
      <c r="C121" s="5" t="inlineStr">
        <is>
          <t>โรงพยาบาลนครพิงค์</t>
        </is>
      </c>
      <c r="D121" s="5" t="n">
        <v>2</v>
      </c>
      <c r="E121" s="5" t="n">
        <v>527160</v>
      </c>
      <c r="F121" s="5" t="inlineStr">
        <is>
          <t>1. ซื้อวัสดุการแพทย์ 4 รายการ โดยวิธีเฉพาะเจาะจง [471,460]
2. ซื้อวัสดุการแพทย์ 3 รายการ โดยวิธีเฉพาะเจาะจง [55,700]</t>
        </is>
      </c>
      <c r="G121" s="5" t="inlineStr">
        <is>
          <t>C</t>
        </is>
      </c>
      <c r="H121" s="6" t="n"/>
      <c r="I121" s="6" t="n"/>
    </row>
    <row r="122">
      <c r="A122" s="5" t="inlineStr">
        <is>
          <t>2561-021</t>
        </is>
      </c>
      <c r="B122" s="5" t="inlineStr">
        <is>
          <t>post-Act</t>
        </is>
      </c>
      <c r="C122" s="5" t="inlineStr">
        <is>
          <t>โรงพยาบาลปากเกร็ด</t>
        </is>
      </c>
      <c r="D122" s="5" t="n">
        <v>3</v>
      </c>
      <c r="E122" s="5" t="n">
        <v>585834</v>
      </c>
      <c r="F122" s="5" t="inlineStr">
        <is>
          <t>1. ซื้อบริการยา๖๑/๖๒๓ โดยวิธีเฉพาะเจาะจง [408,526]
2. ซื้อบริการยา๖๑/๖๒๑ โดยวิธีเฉพาะเจาะจง [174,355]
3. ซื้อบริการยา๖๑/๖๑๙ โดยวิธีเฉพาะเจาะจง [2,953]</t>
        </is>
      </c>
      <c r="G122" s="5" t="inlineStr">
        <is>
          <t>C</t>
        </is>
      </c>
      <c r="H122" s="6" t="n"/>
      <c r="I122" s="6" t="n"/>
    </row>
    <row r="123">
      <c r="A123" s="5" t="inlineStr">
        <is>
          <t>2561-022</t>
        </is>
      </c>
      <c r="B123" s="5" t="inlineStr">
        <is>
          <t>post-Act</t>
        </is>
      </c>
      <c r="C123" s="5" t="inlineStr">
        <is>
          <t>องค์การบริหารส่วนตำบลเมืองพลับพลา</t>
        </is>
      </c>
      <c r="D123" s="5" t="n">
        <v>3</v>
      </c>
      <c r="E123" s="5" t="n">
        <v>559000</v>
      </c>
      <c r="F123" s="5" t="inlineStr">
        <is>
          <t>1. จ้างโครงการก่อสร้างถนนหินคลุก บ้านโนนฤาษี  หมู่ที่ ๑๒ จุดเริ่มต้นโครงการจากจุดแยกถนนสายทางบ้านโนนฤาษี หมู่ที่ ๑๒ - บ้านสระแก้ว หมู่ที่ ๒ โดยวิธีเฉพาะเจาะจง [280,000]
2. จ้างโครงการก่อสร้างถนนหินคลุก บ้านโนนฤาษี หมู่ที่ 12 สายทางสามแยกนานายวาน - ลำห้วยแถลง โดยวิธีเฉพาะเจาะจง [143,000]
3. จ้างโครงการก่อสร้างถนนหินคลุก บ้านเมืองพลับพลา หมู่ที่ 1 โดยวิธีเฉพาะเจาะจง [136,000]</t>
        </is>
      </c>
      <c r="G123" s="5" t="inlineStr">
        <is>
          <t>A</t>
        </is>
      </c>
      <c r="H123" s="6" t="n"/>
      <c r="I123" s="6" t="n"/>
    </row>
    <row r="124">
      <c r="A124" s="5" t="inlineStr">
        <is>
          <t>2561-023</t>
        </is>
      </c>
      <c r="B124" s="5" t="inlineStr">
        <is>
          <t>post-Act</t>
        </is>
      </c>
      <c r="C124" s="5" t="inlineStr">
        <is>
          <t>กรมชลประทาน</t>
        </is>
      </c>
      <c r="D124" s="5" t="n">
        <v>5</v>
      </c>
      <c r="E124" s="5" t="n">
        <v>762161</v>
      </c>
      <c r="F124" s="5" t="inlineStr">
        <is>
          <t>1. ซื้อซื้อน้ำมันดีเซลหมุนเร็ว จำนวน  10,000 ลิตร งานปรับปรุง ปตร.ปากคลองระบาย 1 ซ้าย-ป่าสัก โดยวิธีเฉพาะเจาะจง [289,300]
2. ซื้อซื้อน้ำมันดีเซลหมุนเร็ว มอก.1267-2544  จำนวน  8,165  ลิตร งานปรับปรุงสะพาน คสล.ข้ามคลองระบาย ร.3ข-1ซ-ป่าสัก กม.11+407 โดยวิธีเฉพาะเจาะจง [236,213]
3. ซื้อซื้อน้ำมันดีเซลหมุนเร็ว  จำนวน  4,700  ลิตร งานปรับปรุง ปตร.ปากคลองระบาย 1 ซ้าย-ป่าสัก โดยวิธีเฉพาะเจาะจง [135,971]
4. ซื้อน้ำมันดีเซลหมุนเร็ว มอก.1267-2544  จำนวน  2,310  ลิตร โดยวิธีเฉพาะเจาะจง [66,828]
5. ซื้อน้ำมันดีเซลหมุนเร็ว มอก.1267-2544  จำนวน  1,170  ลิตร โดยวิธีเฉพาะเจาะจง [33,848]</t>
        </is>
      </c>
      <c r="G124" s="5" t="inlineStr">
        <is>
          <t>A</t>
        </is>
      </c>
      <c r="H124" s="6" t="n"/>
      <c r="I124" s="6" t="n"/>
    </row>
    <row r="125">
      <c r="A125" s="5" t="inlineStr">
        <is>
          <t>2561-024</t>
        </is>
      </c>
      <c r="B125" s="5" t="inlineStr">
        <is>
          <t>post-Act</t>
        </is>
      </c>
      <c r="C125" s="5" t="inlineStr">
        <is>
          <t>โรงพยาบาลวชิระภูเก็ต</t>
        </is>
      </c>
      <c r="D125" s="5" t="n">
        <v>7</v>
      </c>
      <c r="E125" s="5" t="n">
        <v>1274395</v>
      </c>
      <c r="F125" s="5" t="inlineStr">
        <is>
          <t>1. ซื้อเวชภัณฑ์มิใช่ยาและวัสดุการแพทย์ จำนวน ๔ รายการ (PO6100920) โดยวิธีเฉพาะเจาะจง [329,951]
2. ซื้อเวชภัณฑ์มิใช่ยาและวัสดุการแพทย์ จำนวน ๓ รายการ (PO๖๑๐๐๗๒๙) โดยวิธีเฉพาะเจาะจง [283,500]
3. ซื้อเวชภัณฑ์มิใช่ยาและวัสดุการแพทย์ จำนวน ๙ รายการ (PO๖๑๐๐๖๖๔) โดยวิธีเฉพาะเจาะจง [261,000]
4. ซื้อเวชภัณฑ์มิใช่ยาและวัสดุการแพทย์ จำนวน 3 รายการ (PO6100921) โดยวิธีเฉพาะเจาะจง [136,853]
5. ซื้อยาจำนวน 1 รายการ (6103350) โดยวิธีเฉพาะเจาะจง [99,670]
6. ซื้อยาจำนวน 1 รายการ (6103352) โดยวิธีเฉพาะเจาะจง [99,221]
7. ซื้อยาจำนวน 1 รายการ (6103351) โดยวิธีเฉพาะเจาะจง [64,200]</t>
        </is>
      </c>
      <c r="G125" s="5" t="inlineStr">
        <is>
          <t>C</t>
        </is>
      </c>
      <c r="H125" s="6" t="n"/>
      <c r="I125" s="6" t="n"/>
    </row>
    <row r="126">
      <c r="A126" s="5" t="inlineStr">
        <is>
          <t>2561-025</t>
        </is>
      </c>
      <c r="B126" s="5" t="inlineStr">
        <is>
          <t>post-Act</t>
        </is>
      </c>
      <c r="C126" s="5" t="inlineStr">
        <is>
          <t>องค์การบริหารส่วนตำบลบางระกำ</t>
        </is>
      </c>
      <c r="D126" s="5" t="n">
        <v>6</v>
      </c>
      <c r="E126" s="5" t="n">
        <v>956000</v>
      </c>
      <c r="F126" s="5" t="inlineStr">
        <is>
          <t>1. ซื้อซื้อวัสดุเชื้อเพลิงและหล่อลื่น โดยวิธีเฉพาะเจาะจง [300,000]
2. ซื้อค่าวัสดุเชื้อเพลิงและหล่อลื่น(งานกำจัดขยะมูลฝอยและสิ่งปฏิกูล) โดยวิธีเฉพาะเจาะจง [192,000]
3. ซื้อจัดซื้อวัสดุเชื้อเพลิงและหล่อลื่น โดยวิธีเฉพาะเจาะจง [144,000]
4. ซื้อค่าวัสดุเชื้อเพลิงและหล่อลื่น(งานบริหารทั่วไปเกี่ยวกับเคหะและชุมชน) โดยวิธีเฉพาะเจาะจง [120,000]
5. ซื้อค่าวัสดุเชื้อเพลิงและหล่อลื่น(ค่าใช้สอย)(งานอนุรักษ์แหล่งน้ำและป่าไม้) โดยวิธีเฉพาะเจาะจง [100,000]
6. ซื้อค่าวัสดุเชื้อเพลิงและหล่อลื่น(งานกิจการประปา) โดยวิธีเฉพาะเจาะจง [100,000]</t>
        </is>
      </c>
      <c r="G126" s="5" t="inlineStr">
        <is>
          <t>A</t>
        </is>
      </c>
      <c r="H126" s="6" t="n"/>
      <c r="I126" s="6" t="n"/>
    </row>
    <row r="127">
      <c r="A127" s="5" t="inlineStr">
        <is>
          <t>2563-001</t>
        </is>
      </c>
      <c r="B127" s="5" t="inlineStr">
        <is>
          <t>post-Act</t>
        </is>
      </c>
      <c r="C127" s="5" t="inlineStr">
        <is>
          <t>โรงพยาบาลมหาราชนครศรีธรรมราช</t>
        </is>
      </c>
      <c r="D127" s="5" t="n">
        <v>17</v>
      </c>
      <c r="E127" s="5" t="n">
        <v>877300</v>
      </c>
      <c r="F127" s="5" t="inlineStr">
        <is>
          <t>1. ซื้ออุปกรณ์การแพทย์และอวัยวะเทียม  จำนวน  ๑ รายการ โดยวิธีเฉพาะเจาะจง [90,800]
2. ซื้ออุปกรณ์การแพทย์และอวัยวะเทียม  จำนวน  ๑  รายการ โดยวิธีเฉพาะเจาะจง [90,800]
3. ซื้ออุปกรณ์การแพทย์และอวัยวะเทียม  จำนวน  ๑ รายการ โดยวิธีเฉพาะเจาะจง [90,800]
4. ซื้ออุปกรณ์การแพทย์และอวัยวะเทียม  จำนวน  ๑ รายการ โดยวิธีเฉพาะเจาะจง [90,800]
5. ซื้ออุปกรณ์การแพทย์และอวัยวะเทียม  จำนวน  ๑ รายการ โดยวิธีเฉพาะเจาะจง [90,800]
6. ซื้ออุปกรณ์การแพทย์และอวัยวะเทียม  จำนวน  ๑ รายการ โดยวิธีเฉพาะเจาะจง [90,800]
7. ซื้ออุปกรณ์การแพทย์และอวัยวะเทียม  จำนวน  ๑ รายการ โดยวิธีเฉพาะเจาะจง [90,800]
8. ซื้ออุปกรณ์การแพทย์และอวัยวะเทียม  จำนวน  ๓ รายการ โดยวิธีเฉพาะเจาะจง [55,000]
9. ซื้ออุปกรณ์การแพทย์และอวัยวะเทียม  จำนวน  ๔ รายการ โดยวิธีเฉพาะเจาะจง [43,900]
10. ซื้ออุปกรณ์การแพทย์และอวัยวะเทียม  จำนวน  ๔ รายการ โดยวิธีเฉพาะเจาะจง [33,300]
11. ซื้ออุปกรณ์การแพทย์และอวัยวะเทียม  จำนวน  ๒ รายการ โดยวิธีเฉพาะเจาะจง [19,500]
12. ซื้ออุปกรณ์การแพทย์และอวัยวะเทียม  จำนวน  ๒ รายการ โดยวิธีเฉพาะเจาะจง [18,900]
13. ซื้ออุปกรณ์การแพทย์และอวัยวะเทียม  จำนวน  ๒ รายการ โดยวิธีเฉพาะเจาะจง [18,900]
14. ซื้ออุปกรณ์การแพทย์และอวัยวะเทียม  จำนวน  ๒ รายการ โดยวิธีเฉพาะเจาะจง [18,900]
15. ซื้ออุปกรณ์การแพทย์และอวัยวะเทียม  จำนวน  ๑ รายการ โดยวิธีเฉพาะเจาะจง [14,400]
16. ซื้ออุปกรณ์การแพทย์และอวัยวะเทียม  จำนวน  ๒ รายการ โดยวิธีเฉพาะเจาะจง [11,700]
17. ซื้ออุปกรณ์การแพทย์และอวัยวะเทียม  จำนวน  ๑ รายการ โดยวิธีเฉพาะเจาะจง [7,200]</t>
        </is>
      </c>
      <c r="G127" s="5" t="inlineStr">
        <is>
          <t>A</t>
        </is>
      </c>
      <c r="H127" s="6" t="n"/>
      <c r="I127" s="6" t="n"/>
    </row>
    <row r="128">
      <c r="A128" s="5" t="inlineStr">
        <is>
          <t>2563-002</t>
        </is>
      </c>
      <c r="B128" s="5" t="inlineStr">
        <is>
          <t>post-Act</t>
        </is>
      </c>
      <c r="C128" s="5" t="inlineStr">
        <is>
          <t>เทศบาลนครนครราชสีมา</t>
        </is>
      </c>
      <c r="D128" s="5" t="n">
        <v>3</v>
      </c>
      <c r="E128" s="5" t="n">
        <v>1367000</v>
      </c>
      <c r="F128" s="5" t="inlineStr">
        <is>
          <t>1. จ้างก่อสร้างถนนยกคันดิน (สายหัวสระ-หนองกราด) บ้านหัวสระ หมู่ที่ 4 ตำบลสำนักตะคร้อ อำเภอเทพารักษ์ เชื่อมบ้านหนองกราด หมู่ที่ 3 ตำบลหนองกราด อำเภอด่านขุนทด จังหวัดนคราชสีมา โดยวิธีเฉพาะเจาะจง [495,500]
2. จ้างโครงการปรับปรุงซ่อมแซมโรงอาหาร โรงเรียนปากช่อง ๒ โดยวิธีเฉพาะเจาะจง [461,000]
3. จ้างเหมาโครงการปรับปรุงพัฒนาลานกีฬา โรงเรียนเขาใหญ่พิทยาคม โดยวิธีเฉพาะเจาะจง [410,500]</t>
        </is>
      </c>
      <c r="G128" s="5" t="inlineStr">
        <is>
          <t>B</t>
        </is>
      </c>
      <c r="H128" s="6" t="n"/>
      <c r="I128" s="6" t="n"/>
    </row>
    <row r="129">
      <c r="A129" s="5" t="inlineStr">
        <is>
          <t>2563-003</t>
        </is>
      </c>
      <c r="B129" s="5" t="inlineStr">
        <is>
          <t>post-Act</t>
        </is>
      </c>
      <c r="C129" s="5" t="inlineStr">
        <is>
          <t>เทศบาลตำบลมาบแค</t>
        </is>
      </c>
      <c r="D129" s="5" t="n">
        <v>2</v>
      </c>
      <c r="E129" s="5" t="n">
        <v>692400</v>
      </c>
      <c r="F129" s="5" t="inlineStr">
        <is>
          <t>1. จ้างโครงการก่อสร้างถนนลาดยางแอสฟัลท์ติกคอนกรีต หมู่ที่ 3 โดยวิธีเฉพาะเจาะจง [414,000]
2. จ้างโครงการซ่อมสร้างถนนแอสฟัลท์ติกคอนกรีต หมู่ที่ 1 โดยวิธีเฉพาะเจาะจง [278,400]</t>
        </is>
      </c>
      <c r="G129" s="5" t="inlineStr">
        <is>
          <t>A</t>
        </is>
      </c>
      <c r="H129" s="6" t="n"/>
      <c r="I129" s="6" t="n"/>
    </row>
    <row r="130">
      <c r="A130" s="5" t="inlineStr">
        <is>
          <t>2563-004</t>
        </is>
      </c>
      <c r="B130" s="5" t="inlineStr">
        <is>
          <t>post-Act</t>
        </is>
      </c>
      <c r="C130" s="5" t="inlineStr">
        <is>
          <t>วิทยาลัยการอาชีพนาทวี</t>
        </is>
      </c>
      <c r="D130" s="5" t="n">
        <v>2</v>
      </c>
      <c r="E130" s="5" t="n">
        <v>945805</v>
      </c>
      <c r="F130" s="5" t="inlineStr">
        <is>
          <t>1. จ้างซ่อมแซมปรับปรุงถนนและพื้นที่ทั้งหมดภายในศูนย์ฝึกอบรมวิชาชีพ อำเภอสะบ้าย้อยจังหวัดสงขลา โดยวิธีเฉพาะเจาะจง [499,615]
2. จ้างปรับปรุงซ่อมแซมเพิ่มเติมคูระบายน้ำ บริเวณอาคารวิทยบริการ ของศูนย์ฝึกอบรมวิชาชีพอำเภอสะบ้าย้อย จังหวัดสงขลา โดยวิธีเฉพาะเจาะจง [446,190]</t>
        </is>
      </c>
      <c r="G130" s="5" t="inlineStr">
        <is>
          <t>B</t>
        </is>
      </c>
      <c r="H130" s="6" t="n"/>
      <c r="I130" s="6" t="n"/>
    </row>
    <row r="131">
      <c r="A131" s="5" t="inlineStr">
        <is>
          <t>2563-005</t>
        </is>
      </c>
      <c r="B131" s="5" t="inlineStr">
        <is>
          <t>post-Act</t>
        </is>
      </c>
      <c r="C131" s="5" t="inlineStr">
        <is>
          <t>องค์การเภสัชกรรม</t>
        </is>
      </c>
      <c r="D131" s="5" t="n">
        <v>2</v>
      </c>
      <c r="E131" s="5" t="n">
        <v>753811</v>
      </c>
      <c r="F131" s="5" t="inlineStr">
        <is>
          <t>1. ซื้อเครื่องพิมพ์สำหรับเครื่องทดสอบการละลายของยา จำนวน 5 เครื่อง โดยวิธีเฉพาะเจาะจง [475,000]
2. ซื้อเครื่องพิมพ์สำหรับเครื่องเก็บตัวอย่างอัตโนมัติของเครื่องทดสอบการละลายของยา จำนวน 3 เครื่อง โดยวิธีเฉพาะเจาะจง [278,811]</t>
        </is>
      </c>
      <c r="G131" s="5" t="inlineStr">
        <is>
          <t>A</t>
        </is>
      </c>
      <c r="H131" s="6" t="n"/>
      <c r="I131" s="6" t="n"/>
    </row>
    <row r="132">
      <c r="A132" s="5" t="inlineStr">
        <is>
          <t>2563-006</t>
        </is>
      </c>
      <c r="B132" s="5" t="inlineStr">
        <is>
          <t>post-Act</t>
        </is>
      </c>
      <c r="C132" s="5" t="inlineStr">
        <is>
          <t>เทศบาลตำบลบางสะพานน้อย</t>
        </is>
      </c>
      <c r="D132" s="5" t="n">
        <v>2</v>
      </c>
      <c r="E132" s="5" t="n">
        <v>528000</v>
      </c>
      <c r="F132" s="5" t="inlineStr">
        <is>
          <t>1. จ้างซ่อมแซมถนนหินคลุกซอยตาอยู่ โดยวิธีเฉพาะเจาะจง [398,000]
2. จ้างขุดลอกคลองน้ำเค็ม ช่วงที่ 4 หมู่ที่ 2 โดยวิธีเฉพาะเจาะจง [130,000]</t>
        </is>
      </c>
      <c r="G132" s="5" t="inlineStr">
        <is>
          <t>B</t>
        </is>
      </c>
      <c r="H132" s="6" t="n"/>
      <c r="I132" s="6" t="n"/>
    </row>
    <row r="133">
      <c r="A133" s="5" t="inlineStr">
        <is>
          <t>2563-007</t>
        </is>
      </c>
      <c r="B133" s="5" t="inlineStr">
        <is>
          <t>post-Act</t>
        </is>
      </c>
      <c r="C133" s="5" t="inlineStr">
        <is>
          <t>องค์การบริหารส่วนตำบลดอนไฟ</t>
        </is>
      </c>
      <c r="D133" s="5" t="n">
        <v>2</v>
      </c>
      <c r="E133" s="5" t="n">
        <v>504000</v>
      </c>
      <c r="F133" s="5" t="inlineStr">
        <is>
          <t>1. จ้างก่อสร้างถนนคอนกรีตเสริมเหล็ก สายแม่ปึ๋ง บ้านเอียก หมู่ที่ 6 ตำบลดอนไฟ อำเภอแม่ทะ จังหวัดลำปาง โดยวิธีเฉพาะเจาะจง [421,500]
2. จ้างก่อสร้างดาดคอนกรีตเหมืองทุ่งแพะ บ้านนาฟาน หมู่ที่ 5 ตำบลดอนไฟ อำเภอแม่ทะ จังหวัดลำปาง โดยวิธีเฉพาะเจาะจง [82,500]</t>
        </is>
      </c>
      <c r="G133" s="5" t="inlineStr">
        <is>
          <t>B</t>
        </is>
      </c>
      <c r="H133" s="6" t="n"/>
      <c r="I133" s="6" t="n"/>
    </row>
    <row r="134">
      <c r="A134" s="5" t="inlineStr">
        <is>
          <t>2563-008</t>
        </is>
      </c>
      <c r="B134" s="5" t="inlineStr">
        <is>
          <t>post-Act</t>
        </is>
      </c>
      <c r="C134" s="5" t="inlineStr">
        <is>
          <t>กรมการปกครอง</t>
        </is>
      </c>
      <c r="D134" s="5" t="n">
        <v>2</v>
      </c>
      <c r="E134" s="5" t="n">
        <v>526800</v>
      </c>
      <c r="F134" s="5" t="inlineStr">
        <is>
          <t>1. จ้างขุดลอกอ่างคำน้ำส้ม บ้านคำเม็ก หมู่ที่ ๙ ตำบลบ้านเหล่า อำเภอเจริญศิลป์ จังหวัดสกลนคร โดยวิธีเฉพาะเจาะจง [379,000]
2. จ้างขุดลอกขยายสระหนองไชยวาน หมู่ที่ ๔  ตำบลทุ่งแก อำเภอเจริญศิลป์ จังหวัดสกลนคร โดยวิธีเฉพาะเจาะจง [147,800]</t>
        </is>
      </c>
      <c r="G134" s="5" t="inlineStr">
        <is>
          <t>A</t>
        </is>
      </c>
      <c r="H134" s="6" t="n"/>
      <c r="I134" s="6" t="n"/>
    </row>
    <row r="135">
      <c r="A135" s="5" t="inlineStr">
        <is>
          <t>2563-009</t>
        </is>
      </c>
      <c r="B135" s="5" t="inlineStr">
        <is>
          <t>post-Act</t>
        </is>
      </c>
      <c r="C135" s="5" t="inlineStr">
        <is>
          <t>โรงพยาบาลสมเด็จพระนางเจ้าสิริกิติ์</t>
        </is>
      </c>
      <c r="D135" s="5" t="n">
        <v>16</v>
      </c>
      <c r="E135" s="5" t="n">
        <v>1019375</v>
      </c>
      <c r="F135" s="5" t="inlineStr">
        <is>
          <t>1. ซื้อวัสดุการแพทย์ ทางกลุ่มงานทันตกรรม จำนวน 14 รายการ. โดยวิธีเฉพาะเจาะจง [139,801]
2. ซื้อยา Obinutuzumab 25 MG  /ML. x 40 ML. INJ.ขนาดบรรจุ 1 VIAL จำนวน 1 VIAL โดยวิธีเฉพาะเจาะจง [138,837]
3. ซื้อloban 6650 EZ 60 x 45 cm. จำนวน 28 กล่อง โดยวิธีเฉพาะเจาะจง [96,771]
4. ซื้อTOOL F2/8 TA23 LEGEND 8 CM 2.3 MM TAPER. จำนวน 20 ชิ้น โดยวิธีเฉพาะเจาะจง [77,040]
5. ซื้อยา Eribulin mesilate 0.5 MG  /ML. x 2 ML. INJ. ขนาดบรรจุ 1 VIAL จำนวน 6 BOX โดยวิธีเฉพาะเจาะจง [63,879]
6. ซื้อน้ำยาที่ใช้สำหรับเครื่องตรวจวิเคราะห์ Blood Gas. จำนวน 1 กล่อง โดยวิธีเฉพาะเจาะจง [61,250]
7. ซื้อยา Nivolumab 100  MG. /10 ML INJ. ขนาดบรรจุ 1 VIAL จำนวน 1 VIAL โดยวิธีเฉพาะเจาะจง [58,850]
8. ซื้อAVAGARD SOL US WEDGE BOTTLE 8 EA/CS  จำนวน 50 BOTT โดยวิธีเฉพาะเจาะจง [53,500]
9. ซื้อยา Trastuzumab 600  MG /5 ML. INJ. ขนาดบรรจุ 1 VIAL จำนวน 2 VIAL โดยวิธีเฉพาะเจาะจง [51,000]
10. ซื้อยา Trastuzumab 600  MG /5 ML.INJ. ขนาดบรรจุ 1 VIAL จำนวน 2 VIAL โดยวิธีเฉพาะเจาะจง [51,000]
11. ซื้อยา Nivolumab 40  MG /4 ML. INJ. ขนาดบรรจุ 1 VIAL จำนวน 2 VIAL โดยวิธีเฉพาะเจาะจง [47,080]
12. ซื้อยา Atezolizumab 840  MG/ 14 ML. INJ. ขนาดบรรจุ 1 VIAL จำนวน 1 BOX โดยวิธีเฉพาะเจาะจง [45,689]
13. ซื้อยา Erlotinib HCl 150  MG TAB. ขนาดบรรจุ 30 TAB จำนวน 2 BOX โดยวิธีเฉพาะเจาะจง [35,310]
14. ซื้อยา Gefitinib 250  MG FC-TAB. ขนาดบรรจุ 30 TAB จำนวน 2 BOX โดยวิธีเฉพาะเจาะจง [33,998]
15. ซื้อANEURYSM CLIP FT762T., Clip Yasargil 11 mm,Titanium FT760T., Clip Yasargil 7  mm,Titanium FT740T., Clip Yasargil,Titanium. จำนวน 4 รายการ โดยวิธีเฉพาะเจาะจง [33,769]
16. ซื้อAortic punch 3.5 mm, Aortic punch 4.0 mm, EOPA Arterial cannula 20 Fr. จำนวน 3 รายการ โดยวิธีเฉพาะเจาะจง [31,600]</t>
        </is>
      </c>
      <c r="G135" s="5" t="inlineStr">
        <is>
          <t>B</t>
        </is>
      </c>
      <c r="H135" s="6" t="n"/>
      <c r="I135" s="6" t="n"/>
    </row>
    <row r="136">
      <c r="A136" s="5" t="inlineStr">
        <is>
          <t>2563-010</t>
        </is>
      </c>
      <c r="B136" s="5" t="inlineStr">
        <is>
          <t>post-Act</t>
        </is>
      </c>
      <c r="C136" s="5" t="inlineStr">
        <is>
          <t>โรงพยาบาลขอนแก่น</t>
        </is>
      </c>
      <c r="D136" s="5" t="n">
        <v>13</v>
      </c>
      <c r="E136" s="5" t="n">
        <v>918781</v>
      </c>
      <c r="F136" s="5" t="inlineStr">
        <is>
          <t>1. ซื้อเวชภัณฑ์ที่มิใช่ยาฯ  จำนวน 2 รายการ โดยวิธีเฉพาะเจาะจง [278,885]
2. ซื้อห่อทดสอบ Bowie-Dick Plus Test (ตัวตรวจสอบประสิทธิภาพการทำสุญญากาศของเครื่องนึ่งไอน้ำ) โดยวิธีเฉพาะเจาะจง [94,588]
3. ซื้อคลิปหนีบเส้นเลือดและท่อขนาด 5 มม. ใช้สำหรับการผ่าตัดโดยผ่านกล้อง ( Endo clip 5 mm. applier 176620 ) โดยวิธีเฉพาะเจาะจง [87,740]
4. ซื้อวัสดุทางการแพทย์  จำนวน 2 รายการ โดยวิธีเฉพาะเจาะจง [73,188]
5. ซื้อเวชภัณฑ์ยา จำนวน 1 รายการ  (TOUJEO INSULIN GLAGINE 1.5 ML) โดยวิธีเฉพาะเจาะจง [72,225]
6. ซื้อเข็มเจาะเลือด [30pc/กล่อง] โดยวิธีเฉพาะเจาะจง [62,916]
7. ซื้อเวชภัณฑ์ยา จำนวน 1 รายการ  (RHINOCORT AQUA. 64 MG NASAL SPRAY) โดยวิธีเฉพาะเจาะจง [57,998]
8. ซื้อProxima 2 Baseplate 60 mm. แป้น (10 ชิ้น/กล่อง) โดยวิธีเฉพาะเจาะจง [40,985]
9. ซื้อComply EO Indicator  (1251, 240 pc/pack) โดยวิธีเฉพาะเจาะจง [39,590]
10. ซื้อThermometer Oral,Digital [Terumo] โดยวิธีเฉพาะเจาะจง [38,520]
11. ซื้อSyringe disposable ,Tuberculin 1 cc x 26G x 1/2 โดยวิธีเฉพาะเจาะจง [33,898]
12. ซื้อHypoallergic paper tape 1/2 x 10 หลา [24 ม้วน/กล่อง] โดยวิธีเฉพาะเจาะจง [31,248]
13. ซื้อFilter cards thick W 200 each โดยวิธีเฉพาะเจาะจง [7,000]</t>
        </is>
      </c>
      <c r="G136" s="5" t="inlineStr">
        <is>
          <t>B</t>
        </is>
      </c>
      <c r="H136" s="6" t="n"/>
      <c r="I136" s="6" t="n"/>
    </row>
    <row r="137">
      <c r="A137" s="5" t="inlineStr">
        <is>
          <t>2563-011</t>
        </is>
      </c>
      <c r="B137" s="5" t="inlineStr">
        <is>
          <t>post-Act</t>
        </is>
      </c>
      <c r="C137" s="5" t="inlineStr">
        <is>
          <t>กรมการปกครอง</t>
        </is>
      </c>
      <c r="D137" s="5" t="n">
        <v>4</v>
      </c>
      <c r="E137" s="5" t="n">
        <v>1248800</v>
      </c>
      <c r="F137" s="5" t="inlineStr">
        <is>
          <t>1. จ้างโครงการก่อสร้างบ่อบาดาลขนาดเส้นผ่าศูนย์กลาง 6 นิ้ว ท่อพีวีซี ชั้น 13.5 มอก.17/2532(พลังงานแสงอาทิตย์) จุดที่ 1  หมู่ที่  4  ตำบลปงป่าหวาย  อำเภอเด่นชัย จังหวัดแพร่ โดยวิธีเฉพาะเจาะจง [312,200]
2. จ้างโครงการก่อสร้างบ่อบาดาลขนาดเส้นผ่าศูนย์กลาง 6 นิ้ว ท่อพีวีซี ชั้น 13.5 มอก.17/2532(พลังงานแสงอาทิตย์) จุดที่  2 หมู่ที่  3  ตำบลเด่นชัย อำเภอเด่นชัย จังหวัดแพร่ โดยวิธีเฉพาะเจาะจง [312,200]
3. จ้างโครงการก่อสร้าง   บ่อบาดาลขนาดเส้นผ่าศูนย์กลาง 6 นิ้ว ท่อพีวีซี ชั้น 13.5 มอก.17/2532(พลังงานแสงอาทิตย์) จุดที่ 4  หมู่ที่  4  ตำบลปงป่าหวาย   อำเภอเด่นชัย จังหวัดแพร่ โดยวิธีเฉพาะเจาะจง [312,200]
4. จ้างโครงการก่อสร้างบ่อบาดาลขนาดเส้นผ่าศูนย์กลาง 6 นิ้ว ท่อพีวีซี ชั้น 13.5 มอก.17/2532(พลังงานแสงอาทิตย์) จุดที่  1 หมู่ที่  3  ตำบลเด่นชัย อำเภอเด่นชัย จังหวัดแพร่ โดยวิธีเฉพาะเจาะจง [312,200]</t>
        </is>
      </c>
      <c r="G137" s="5" t="inlineStr">
        <is>
          <t>A</t>
        </is>
      </c>
      <c r="H137" s="6" t="n"/>
      <c r="I137" s="6" t="n"/>
    </row>
    <row r="138">
      <c r="A138" s="5" t="inlineStr">
        <is>
          <t>2563-012</t>
        </is>
      </c>
      <c r="B138" s="5" t="inlineStr">
        <is>
          <t>post-Act</t>
        </is>
      </c>
      <c r="C138" s="5" t="inlineStr">
        <is>
          <t>โรงพยาบาลพระนครศรีอยุธยา</t>
        </is>
      </c>
      <c r="D138" s="5" t="n">
        <v>2</v>
      </c>
      <c r="E138" s="5" t="n">
        <v>520341</v>
      </c>
      <c r="F138" s="5" t="inlineStr">
        <is>
          <t>1. ซื้อVILDAGLIPTIN 50 MG จำนวน 450x56 TAB โดยวิธีเฉพาะเจาะจง [468,500]
2. ซื้อKIDMIN จำนวน 100 BOT,NICARDIPINE 1 MG/ML จำนวน 5x10 AMP และ RANOLAZINE 500 MG จำนวน 10x60 TAB โดยวิธีเฉพาะเจาะจง [51,842]</t>
        </is>
      </c>
      <c r="G138" s="5" t="inlineStr">
        <is>
          <t>B</t>
        </is>
      </c>
      <c r="H138" s="6" t="n"/>
      <c r="I138" s="6" t="n"/>
    </row>
    <row r="139">
      <c r="A139" s="5" t="inlineStr">
        <is>
          <t>2563-013</t>
        </is>
      </c>
      <c r="B139" s="5" t="inlineStr">
        <is>
          <t>post-Act</t>
        </is>
      </c>
      <c r="C139" s="5" t="inlineStr">
        <is>
          <t>องค์การบริหารส่วนตำบลตำหนักธรรม</t>
        </is>
      </c>
      <c r="D139" s="5" t="n">
        <v>4</v>
      </c>
      <c r="E139" s="5" t="n">
        <v>1527000</v>
      </c>
      <c r="F139" s="5" t="inlineStr">
        <is>
          <t>1. จ้างถนนคอนกรีตเสริมเหล็ก หมู่ที่ 7 จำนวน  4  จุด โดยวิธีเฉพาะเจาะจง [397,000]
2. จ้างโครงการก่อสร้างถนน คสล.หมู่ที่ 2 สายเหมืองพ่อขุนต่อจาก ถนน คสล.เดิมถึงลำเหมือง ซอย 10 โดยวิธีเฉพาะเจาะจง [394,000]
3. จ้างโครงการก่อสร้างถนนคอนกรีตเสริมเหล็ก หมู่ที่ 5 บริเวณนานายนรินทร์  ครองบ้าน ถึงนานายสมศักดิ์  ทิพย์ฝั้น โดยวิธีเฉพาะเจาะจง [368,000]
4. จ้างโครงการก่อสร้างถนน คสล.หมู่ที่ 3 บริเวณบ้านนาชิต  ยี่เผติ๊บ ถึงฟาร์มไก่ โดยวิธีเฉพาะเจาะจง [368,000]</t>
        </is>
      </c>
      <c r="G139" s="5" t="inlineStr">
        <is>
          <t>A</t>
        </is>
      </c>
      <c r="H139" s="6" t="n"/>
      <c r="I139" s="6" t="n"/>
    </row>
    <row r="140">
      <c r="A140" s="5" t="inlineStr">
        <is>
          <t>2563-014</t>
        </is>
      </c>
      <c r="B140" s="5" t="inlineStr">
        <is>
          <t>post-Act</t>
        </is>
      </c>
      <c r="C140" s="5" t="inlineStr">
        <is>
          <t>กรมอุทยานแห่งชาติ สัตว์ป่าและพันธุ์พืช</t>
        </is>
      </c>
      <c r="D140" s="5" t="n">
        <v>2</v>
      </c>
      <c r="E140" s="5" t="n">
        <v>1000000</v>
      </c>
      <c r="F140" s="5" t="inlineStr">
        <is>
          <t>1. ซื้อวัสดุการเกษตร โดยวิธีเฉพาะเจาะจง [500,000]
2. ซื้อวัสดุการเกษตร โดยวิธีเฉพาะเจาะจง [500,000]</t>
        </is>
      </c>
      <c r="G140" s="5" t="inlineStr">
        <is>
          <t>A</t>
        </is>
      </c>
      <c r="H140" s="6" t="n"/>
      <c r="I140" s="6" t="n"/>
    </row>
    <row r="141">
      <c r="A141" s="5" t="inlineStr">
        <is>
          <t>2563-015</t>
        </is>
      </c>
      <c r="B141" s="5" t="inlineStr">
        <is>
          <t>post-Act</t>
        </is>
      </c>
      <c r="C141" s="5" t="inlineStr">
        <is>
          <t>กรมทางหลวง</t>
        </is>
      </c>
      <c r="D141" s="5" t="n">
        <v>2</v>
      </c>
      <c r="E141" s="5" t="n">
        <v>562987</v>
      </c>
      <c r="F141" s="5" t="inlineStr">
        <is>
          <t>1. จ้างซ่อมไฟฟ้าแสงสว่าง ในทางหลวงพิเศษหมายเลข 7 ตอน ถนนศรีนครินทร์ - บางปะกง ระหว่าง กม.5+300 - กม.12+970 (เป็นช่วงๆ) โดยวิธีเฉพาะเจาะจง [466,987]
2. ซื้อวัสดุก่อสร้าง โดยวิธีเฉพาะเจาะจง [96,000]</t>
        </is>
      </c>
      <c r="G141" s="5" t="inlineStr">
        <is>
          <t>B</t>
        </is>
      </c>
      <c r="H141" s="6" t="n"/>
      <c r="I141" s="6" t="n"/>
    </row>
    <row r="142">
      <c r="A142" s="5" t="inlineStr">
        <is>
          <t>2563-016</t>
        </is>
      </c>
      <c r="B142" s="5" t="inlineStr">
        <is>
          <t>post-Act</t>
        </is>
      </c>
      <c r="C142" s="5" t="inlineStr">
        <is>
          <t>มหาวิทยาลัยนวมินทราธิราช</t>
        </is>
      </c>
      <c r="D142" s="5" t="n">
        <v>3</v>
      </c>
      <c r="E142" s="5" t="n">
        <v>757967</v>
      </c>
      <c r="F142" s="5" t="inlineStr">
        <is>
          <t>1. ซื้อรายการยาจำนวน ๑ รายการ โดยวิธีเฉพาะเจาะจง [489,204]
2. ซื้อรายการยาจำนวน ๑ รายการ โดยวิธีเฉพาะเจาะจง [188,641]
3. ซื้อจัดซื้อยา 2 รายการ โดยวิธีเฉพาะเจาะจง [80,122]</t>
        </is>
      </c>
      <c r="G142" s="5" t="inlineStr">
        <is>
          <t>C</t>
        </is>
      </c>
      <c r="H142" s="6" t="n"/>
      <c r="I142" s="6" t="n"/>
    </row>
    <row r="143">
      <c r="A143" s="5" t="inlineStr">
        <is>
          <t>2563-017</t>
        </is>
      </c>
      <c r="B143" s="5" t="inlineStr">
        <is>
          <t>post-Act</t>
        </is>
      </c>
      <c r="C143" s="5" t="inlineStr">
        <is>
          <t>กรมโยธาธิการและผังเมือง</t>
        </is>
      </c>
      <c r="D143" s="5" t="n">
        <v>2</v>
      </c>
      <c r="E143" s="5" t="n">
        <v>884500</v>
      </c>
      <c r="F143" s="5" t="inlineStr">
        <is>
          <t>1. จ้างโครงการขุดลอกแหล่งน้ำหนองปลาดุก หมู่ที่ 2 ตำบลหอคำ อำเภอเมืองบึงกาฬ         จังหวัดบึงกาฬ โดยวิธีเฉพาะเจาะจง [484,500]
2. จ้างโครงการขุดลอกลำห้วยทรายใหญ่ตอนล่าง บ้านนาแสงสาคร หมู่ที่ 7 ตำบลนาแสง      อำเภอศรีวิไล จังหวัดบึงกาฬ โดยวิธีเฉพาะเจาะจง [400,000]</t>
        </is>
      </c>
      <c r="G143" s="5" t="inlineStr">
        <is>
          <t>A</t>
        </is>
      </c>
      <c r="H143" s="6" t="n"/>
      <c r="I143" s="6" t="n"/>
    </row>
    <row r="144">
      <c r="A144" s="5" t="inlineStr">
        <is>
          <t>2563-018</t>
        </is>
      </c>
      <c r="B144" s="5" t="inlineStr">
        <is>
          <t>post-Act</t>
        </is>
      </c>
      <c r="C144" s="5" t="inlineStr">
        <is>
          <t>โรงพยาบาลยะลา</t>
        </is>
      </c>
      <c r="D144" s="5" t="n">
        <v>7</v>
      </c>
      <c r="E144" s="5" t="n">
        <v>579619</v>
      </c>
      <c r="F144" s="5" t="inlineStr">
        <is>
          <t>1. ซื้อวัสดุการแพทย์ จำนวน ๓ รายการ โดยวิธีเฉพาะเจาะจง [96,942]
2. ซื้อวัสดุการแพทย์ จำนวน ๒ รายการ โดยวิธีเฉพาะเจาะจง [90,094]
3. ซื้อวัสดุการแพทย์ จำนวน ๑ รายการ โดยวิธีเฉพาะเจาะจง [89,880]
4. ซื้อวัสดุการแพทย์ จำนวน ๑ รายการ โดยวิธีเฉพาะเจาะจง [89,880]
5. ซื้อวัสดุการแพทย์ จำนวน ๖ รายการ โดยวิธีเฉพาะเจาะจง [80,036]
6. ซื้อวัสดุการแพทย์ จำนวน ๒ รายการ โดยวิธีเฉพาะเจาะจง [67,410]
7. ซื้อวัสดุการแพทย์ จำนวน ๒ รายการ โดยวิธีเฉพาะเจาะจง [65,377]</t>
        </is>
      </c>
      <c r="G144" s="5" t="inlineStr">
        <is>
          <t>C</t>
        </is>
      </c>
      <c r="H144" s="6" t="n"/>
      <c r="I144" s="6" t="n"/>
    </row>
    <row r="145">
      <c r="A145" s="5" t="inlineStr">
        <is>
          <t>2563-019</t>
        </is>
      </c>
      <c r="B145" s="5" t="inlineStr">
        <is>
          <t>post-Act</t>
        </is>
      </c>
      <c r="C145" s="5" t="inlineStr">
        <is>
          <t>กรมชลประทาน</t>
        </is>
      </c>
      <c r="D145" s="5" t="n">
        <v>2</v>
      </c>
      <c r="E145" s="5" t="n">
        <v>709068</v>
      </c>
      <c r="F145" s="5" t="inlineStr">
        <is>
          <t>1. จ้างเหมาก่อสร้าง ปรับปรุงระบบระบายน้ำ ตำบลโคกหม้อ อำเภอทัพทัน จังหวัดอุทัยธานี โดยวิธีเฉพาะเจาะจง [499,008]
2. จ้างเหมาบริการตัดหญ้าและซ่อมแซมอุปกรณ์ระบบส่งน้ำ  จำนวน 1 รายการ  งานซ่อมแซมโครงการชลประทานอันเนื่องมาจากพระราชดำริตามข้อเสนอเกษตรกร ในเขตจังหวัดอุทัยธานี โดยวิธีเฉพาะเจาะจง [210,060]</t>
        </is>
      </c>
      <c r="G145" s="5" t="inlineStr">
        <is>
          <t>B</t>
        </is>
      </c>
      <c r="H145" s="6" t="n"/>
      <c r="I145" s="6" t="n"/>
    </row>
    <row r="146">
      <c r="A146" s="5" t="inlineStr">
        <is>
          <t>2563-020</t>
        </is>
      </c>
      <c r="B146" s="5" t="inlineStr">
        <is>
          <t>post-Act</t>
        </is>
      </c>
      <c r="C146" s="5" t="inlineStr">
        <is>
          <t>โรงพยาบาลชลบุรี</t>
        </is>
      </c>
      <c r="D146" s="5" t="n">
        <v>14</v>
      </c>
      <c r="E146" s="5" t="n">
        <v>1544427</v>
      </c>
      <c r="F146" s="5" t="inlineStr">
        <is>
          <t>1. ซื้อยานอกบัญชียาหลักแห่งชาติ ยา 20% Human Albumin 50 ml injection จำนวน 560 Bottle โดยวิธีเฉพาะเจาะจง [497,336]
2. ซื้อ(ZSR๐๖) SYRINGE DISPOSABLE 50 ML (PU) PIECE จำนวน ๑,๐๐๐ กล่อง โดยวิธีเฉพาะเจาะจง [278,200]
3. ซื้อยานอกบัญชียาหลักแห่งชาติ ยา Quetiapine 50 mg tablet จำนวน 100 กล่อง โดยวิธีเฉพาะเจาะจง [176,657]
4. ซื้อยาในบัญชียาหลักแห่งชาติ ยา  Lantus  300  IU/3  ml  injection  จำนวน  200  penfill โดยวิธีเฉพาะเจาะจง [96,300]
5. ซื้อ(ZND๐๑)NEEDLE DISP NO.๑๘ X ๑ ๑/๒ นิ้ว  PU   จำนวน ๒,๐๐๐ กล่อง โดยวิธีเฉพาะเจาะจง [96,300]
6. ซื้อ(ZE๗๕๐๗) REM EL ๒.๗ M ๙FT ผู้ใหญ่ OR PU จำนวน ๗๐๐ ชิ้น โดยวิธีเฉพาะเจาะจง [92,127]
7. ซื้อยาในบัญชียาหลักแห่งชาติ ยา  Fusidic  5  gm  cream  จำนวน  1,000  tube  บริจาค  50  tube โดยวิธีเฉพาะเจาะจง [85,600]
8. ซื้อ(ZTHBL๕๑๑๑) BASIC VACCUUM PHACO (PU) จำนวน ๖๐ ชิ้น โดยวิธีเฉพาะเจาะจง [72,000]
9. ซื้อยาในบัญชียาหลักแห่งชาติ ยา  Sod  bicarbonate  300  mg  tablet  จำนวน  500  bottle โดยวิธีเฉพาะเจาะจง [38,520]
10. ซื้อยานอกบัญชียาหลักแห่งชาติ ยา  Amorphous  aescin  20  mg  tablet  จำนวน  50  box, ยา Voluven  6%  500  ml  จำนวน  30  bag  บริจาค  3  bag โดยวิธีเฉพาะเจาะจง [34,561]
11. ซื้อ(Z๑๐๖๔๗๑๕) OPTILENE MESH LP๗.๕ X ๑๕ CM OR PU จำนวน ๓ กล่อง โดยวิธีเฉพาะเจาะจง [32,100]
12. ซื้อ(Z๐๐M๙๒๐๐) AVAGARD SOL US WEDGE BOTTLE OR(PU)  จำนวน  ๒๐ BOTTLE โดยวิธีเฉพาะเจาะจง [21,400]
13. ซื้อ(ZSTRS๑) STERILE- STRIP ๑/๔ X ๔ นิ้ว (PU)ZMS๒๐๒๐๑ จำนวน ๕๐๐ ชิ้น โดยวิธีเฉพาะเจาะจง [11,770]
14. ซื้อ(ZCAUP๑) NEONATAL REM EL ๒.๗ M FT ทารก OR PU จำนวน ๒๐ ชิ้น โดยวิธีเฉพาะเจาะจง [11,556]</t>
        </is>
      </c>
      <c r="G146" s="5" t="inlineStr">
        <is>
          <t>B</t>
        </is>
      </c>
      <c r="H146" s="6" t="n"/>
      <c r="I146" s="6" t="n"/>
    </row>
    <row r="147">
      <c r="A147" s="5" t="inlineStr">
        <is>
          <t>2563-021</t>
        </is>
      </c>
      <c r="B147" s="5" t="inlineStr">
        <is>
          <t>post-Act</t>
        </is>
      </c>
      <c r="C147" s="5" t="inlineStr">
        <is>
          <t>สำนักงานปลัดกระทรวงกลาโหม</t>
        </is>
      </c>
      <c r="D147" s="5" t="n">
        <v>2</v>
      </c>
      <c r="E147" s="5" t="n">
        <v>590000</v>
      </c>
      <c r="F147" s="5" t="inlineStr">
        <is>
          <t>1. จ้างจ้างเหมาติดตั้งอุปกรณ์ไล่นก โดยวิธีเฉพาะเจาะจง [295,000]
2. จ้างจ้างติดตั้งอุปกรณ์ไล่นก สำนักงานสงเคราะห์ทหารผ่านศึกเขตอุบลราชธานี โดยวิธีเฉพาะเจาะจง โดยวิธีเฉพาะเจาะจง [295,000]</t>
        </is>
      </c>
      <c r="G147" s="5" t="inlineStr">
        <is>
          <t>A</t>
        </is>
      </c>
      <c r="H147" s="6" t="n"/>
      <c r="I147" s="6" t="n"/>
    </row>
    <row r="148">
      <c r="A148" s="5" t="inlineStr">
        <is>
          <t>2563-022</t>
        </is>
      </c>
      <c r="B148" s="5" t="inlineStr">
        <is>
          <t>post-Act</t>
        </is>
      </c>
      <c r="C148" s="5" t="inlineStr">
        <is>
          <t>กรมป่าไม้</t>
        </is>
      </c>
      <c r="D148" s="5" t="n">
        <v>4</v>
      </c>
      <c r="E148" s="5" t="n">
        <v>699380</v>
      </c>
      <c r="F148" s="5" t="inlineStr">
        <is>
          <t>1. จ้างเหมาปฏิบัติงาน (บำรุงรักษาป่าปีที่ ๗ - ๑๐) ของหน่วยฟื้นฟูฯ ป่าแม่พวก ที่ ๗ จังหวัดแพร่ โดยวิธีเฉพาะเจาะจง [274,500]
2. จ้างเหมาปฏิบัติงาน (บำรุงรักษาป่าปีที่ ๗ - ๑๐) ของหน่วยฟื้นฟูสภาพป่าสงวนแห่งชาติ ป่าแม่พวก ที่ ๗ จังหวัดแพร่ โดยวิธีเฉพาะเจาะจง [251,480]
3. จ้างเหมาปฏิบัติงาน (บำรุงรักษาป่าปีที่ ๗ - ๑๐) ของหน่วยฟื้นฟูสภาพป่าสงวนแห่งชาติ ป่าแม่ยมฝั่งตะวันออก ที่ ๔ จังหวัดแพร่ โดยวิธีเฉพาะเจาะจง [115,600]
4. จ้างเหมาปฏิบัติงาน (บำรุงรักษาป่าปีที่ ๗ - ๑๐) ของหน่วยฟื้นฟูสภาพป่าสงวนแห่งชาติ ป่าแม่สรอย ที่ ๒ จังหวัดแพร่ โดยวิธีเฉพาะเจาะจง [57,800]</t>
        </is>
      </c>
      <c r="G148" s="5" t="inlineStr">
        <is>
          <t>A</t>
        </is>
      </c>
      <c r="H148" s="6" t="n"/>
      <c r="I148" s="6" t="n"/>
    </row>
    <row r="149">
      <c r="A149" s="5" t="inlineStr">
        <is>
          <t>2563-023</t>
        </is>
      </c>
      <c r="B149" s="5" t="inlineStr">
        <is>
          <t>post-Act</t>
        </is>
      </c>
      <c r="C149" s="5" t="inlineStr">
        <is>
          <t>กรมราชทัณฑ์</t>
        </is>
      </c>
      <c r="D149" s="5" t="n">
        <v>4</v>
      </c>
      <c r="E149" s="5" t="n">
        <v>522498</v>
      </c>
      <c r="F149" s="5" t="inlineStr">
        <is>
          <t>1. ซื้อฝึกวิชาชีพทักษะผู้ประกอบการร้านอาหาร โดยวิธีเฉพาะเจาะจง [397,025]
2. ซื้อฝึกวิชาชีพทักษะผู้ประกอบการร้านอาหาร(ร้านก๋วยเตี๋ยว) โดยวิธีเฉพาะเจาะจง [65,994]
3. ซื้อฝึกวิชาชีพทักษะผู้ประกอบการร้านอาหาร(ร้านไก่ย่าง) โดยวิธีเฉพาะเจาะจง [50,130]
4. ซื้อฝึกวิชาชีพทักษะผู้ประกอบการ(ร้านกาแฟ) โดยวิธีเฉพาะเจาะจง [9,349]</t>
        </is>
      </c>
      <c r="G149" s="5" t="inlineStr">
        <is>
          <t>A</t>
        </is>
      </c>
      <c r="H149" s="6" t="n"/>
      <c r="I149" s="6" t="n"/>
    </row>
    <row r="150">
      <c r="A150" s="5" t="inlineStr">
        <is>
          <t>2563-024</t>
        </is>
      </c>
      <c r="B150" s="5" t="inlineStr">
        <is>
          <t>post-Act</t>
        </is>
      </c>
      <c r="C150" s="5" t="inlineStr">
        <is>
          <t>องค์การบริหารส่วนตำบลสุขสวัสดิ์</t>
        </is>
      </c>
      <c r="D150" s="5" t="n">
        <v>4</v>
      </c>
      <c r="E150" s="5" t="n">
        <v>555700</v>
      </c>
      <c r="F150" s="5" t="inlineStr">
        <is>
          <t>1. จ้างก่อสร้างถนนคอนกรีตเสริมเหล็กจากแยกคุ้มบ้านหนองอีตู้ - บ้านหนองไผ่  หมู่ที่ ๗ (ตามแบบแปลนและรายละเอียดที่ทางองค์การบริหารส่วนตำบลสุขสวัสดิ์กำหนด) โดยวิธีเฉพาะเจาะจง [214,700]
2. จ้างก่อสร้างถนนคอนกรีตเสริมเหล็กจากบ้านจังเอิญ - ถนนโพนปลัด/เขวา (ตามแบบแปลนและรายละเอียดที่ทางองค์การบริหารส่วนตำบลสุขสวัสดิ์กำหนด) โดยวิธีเฉพาะเจาะจง [200,000]
3. จ้างก่อสร้างถนนคอนกรีตเสริมเหล็กภายในบ้านหนองยาว  หมู่ที่ ๙  ซอยบ้านน้อย จากบ้านนางดวน - บ้านนายวสันต์ (ตามแบบแปลนและรายละเอียดที่ทางองค์การบริหารส่วนตำบลสุขสวัสดิ์กำหนด) โดยวิธีเฉพาะเจาะจง [88,000]
4. จ้างก่อสร้างถนนคอนกรีตเสริมเหล็กจากบ้านนายเสี่ยน - บ้านนางสำเนียง  นัยเนตร  หมู่ที่ ๑ (ตามแบบแปลนและรายละเอียดที่ทางองค์การบริหารส่วนตำบลสุขสวัสดิ์กำหนด) โดยวิธีเฉพาะเจาะจง [53,000]</t>
        </is>
      </c>
      <c r="G150" s="5" t="inlineStr">
        <is>
          <t>A</t>
        </is>
      </c>
      <c r="H150" s="6" t="n"/>
      <c r="I150" s="6" t="n"/>
    </row>
    <row r="151">
      <c r="A151" s="5" t="inlineStr">
        <is>
          <t>2563-025</t>
        </is>
      </c>
      <c r="B151" s="5" t="inlineStr">
        <is>
          <t>post-Act</t>
        </is>
      </c>
      <c r="C151" s="5" t="inlineStr">
        <is>
          <t>โรงพยาบาลพหลพลพยุหเสนา</t>
        </is>
      </c>
      <c r="D151" s="5" t="n">
        <v>5</v>
      </c>
      <c r="E151" s="5" t="n">
        <v>970624</v>
      </c>
      <c r="F151" s="5" t="inlineStr">
        <is>
          <t>1. ซื้อเวชภัณฑ์ยา 3 รายการ (631895) โดยวิธีเฉพาะเจาะจง [333,305]
2. ซื้อเวชภัณฑ์ยา 3 รายการ (631896) โดยวิธีเฉพาะเจาะจง [230,178]
3. ซื้อเวชภัณฑ์ยา 3 รายการ (631864) โดยวิธีเฉพาะเจาะจง [206,598]
4. ซื้อเวชภัณฑ์ยา 3 รายการ (631905) โดยวิธีเฉพาะเจาะจง [134,435]
5. ซื้อเวชภัณฑ์ยา 3 รายการ (631865) โดยวิธีเฉพาะเจาะจง [66,108]</t>
        </is>
      </c>
      <c r="G151" s="5" t="inlineStr">
        <is>
          <t>C</t>
        </is>
      </c>
      <c r="H151" s="6" t="n"/>
      <c r="I151" s="6" t="n"/>
    </row>
    <row r="152">
      <c r="A152" s="5" t="inlineStr">
        <is>
          <t>2566-001</t>
        </is>
      </c>
      <c r="B152" s="5" t="inlineStr">
        <is>
          <t>post-Act</t>
        </is>
      </c>
      <c r="C152" s="5" t="inlineStr">
        <is>
          <t>การไฟฟ้าส่วนภูมิภาค</t>
        </is>
      </c>
      <c r="D152" s="5" t="n">
        <v>3</v>
      </c>
      <c r="E152" s="5" t="n">
        <v>1004221</v>
      </c>
      <c r="F152" s="5" t="inlineStr">
        <is>
          <t>1. จ้างเหมาย้ายแนวระบบจำหน่าย 22 เควี บริเวณริมคลองฝั่งตรงข้ามวัดน้อมประชาสรรค์ โดยวิธีเฉพาะเจาะจง [435,590]
2. จ้างเหมาย้ายแนวระบบจำหน่าย 22 เควี. บริเวณริมคลองวัดวงษ์สวรรค์ โดยวิธีเฉพาะเจาะจง [300,742]
3. จ้างเหมาย้ายแนวระบบจำหน่าย 22 เควี. บริเวณริมคลองวัดวงษ์สวรรค์ช่วงกลาง โดยวิธีเฉพาะเจาะจง [267,890]</t>
        </is>
      </c>
      <c r="G152" s="5" t="inlineStr">
        <is>
          <t>A</t>
        </is>
      </c>
      <c r="H152" s="6" t="n"/>
      <c r="I152" s="6" t="n"/>
    </row>
    <row r="153">
      <c r="A153" s="5" t="inlineStr">
        <is>
          <t>2566-002</t>
        </is>
      </c>
      <c r="B153" s="5" t="inlineStr">
        <is>
          <t>post-Act</t>
        </is>
      </c>
      <c r="C153" s="5" t="inlineStr">
        <is>
          <t>เทศบาลตำบลดอนหัวฬ่อ</t>
        </is>
      </c>
      <c r="D153" s="5" t="n">
        <v>2</v>
      </c>
      <c r="E153" s="5" t="n">
        <v>684000</v>
      </c>
      <c r="F153" s="5" t="inlineStr">
        <is>
          <t>1. จ้างพัสดุ โครงการปรับปรุงดาดคอนกรีต ค.ส.ล. คลองซองควาย หมู่ที่ ๗ โดยวิธีเฉพาะเจาะจง [399,000]
2. จ้างพัสดุ โครงการปรับปรุงดาดคอนกรีต ค.ส.ล. คลองหนองรี (ต่อเนื่อง) หมู่ที่ ๖ โดยวิธีเฉพาะเจาะจง [285,000]</t>
        </is>
      </c>
      <c r="G153" s="5" t="inlineStr">
        <is>
          <t>A</t>
        </is>
      </c>
      <c r="H153" s="6" t="n"/>
      <c r="I153" s="6" t="n"/>
    </row>
    <row r="154">
      <c r="A154" s="5" t="inlineStr">
        <is>
          <t>2566-003</t>
        </is>
      </c>
      <c r="B154" s="5" t="inlineStr">
        <is>
          <t>post-Act</t>
        </is>
      </c>
      <c r="C154" s="5" t="inlineStr">
        <is>
          <t>กรมชลประทาน</t>
        </is>
      </c>
      <c r="D154" s="5" t="n">
        <v>5</v>
      </c>
      <c r="E154" s="5" t="n">
        <v>966380</v>
      </c>
      <c r="F154" s="5" t="inlineStr">
        <is>
          <t>1. ซื้อหินใหญ่ คละขนาด และอื่นๆ จำนวน 2 รายการ สำหรับงาน ซ่อมแซมหินทิ้งหินเรียงรอบหัวงานฝ่ายส่งน้ำและบำรุงรักษาที่ 2 โครงการส่งน้ำและบำรุงรักษาดำเนินสะดวก จังหวัดสมุทรสาคร สชป.13/ดส.99/2566 (คบ.ดำเนินสะดวก) โดยวิธีเฉพาะเจาะจง [309,250]
2. ซื้อหินใหญ่ คละขนาด และอื่นๆ จำนวน 7 รายการ สำหรับงาน ซ่อมแซม ประตูระบายน้ำ D7 โครงการส่งน้ำและบำรุงรักษาดำเนินสะดวก จังหวัดสมุทรสาคร สชป.13/ดส.100/2566 (คบ.ดำเนินสะดวก) โดยวิธีเฉพาะเจาะจง [293,580]
3. ซื้อหินใหญ่ คละขนาด และอื่นๆ จำนวน 4 รายการ สำหรับงาน ซ่อมแซมหินทิ้งหินเรียงสถานีสูบน้ำบางยาง โครงการส่งน้ำและบำรุงรักษาดำเนินสะดวก จังหวัดสมุทรสาคร สชป.13/ดส.98/2566 (คบ.ดำเนินสะดวก) โดยวิธีเฉพาะเจาะจง [272,252]
4. ซื้อวัสดุคอนกรีตสำเร็จรูป จำนวน 4 รายการ สำหรับงาน ซ่อมแซม ทำนบป้องกันน้ำเค็มในเขตตำบลดอนมะโนรา 5 แห่ง โครงการส่งน้ำและบำรุงรักษาดำเนินสะดวก จังหวัดสมุทรสงคราม สชป.13/ดส.101/2566 (คบ.ดำเนินสะดวก) โดยวิธีเฉพาะเจาะจง [65,190]
5. ซื้อวัสดุดินถม จำนวน 1 รายการ สำหรับงาน ซ่อมแซม ทำนบป้องกันน้ำเค็มในเขตตำบลดอนมะโนรา 5 แห่ง โครงการส่งน้ำและบำรุงรักษาดำเนินสะดวก จังหวัดสมุทรสงคราม สชป.13/ดส.102/2566 (คบ.ดำเนินสะดวก) โดยวิธีเฉพาะเจาะจง [26,108]</t>
        </is>
      </c>
      <c r="G154" s="5" t="inlineStr">
        <is>
          <t>A</t>
        </is>
      </c>
      <c r="H154" s="6" t="n"/>
      <c r="I154" s="6" t="n"/>
    </row>
    <row r="155">
      <c r="A155" s="5" t="inlineStr">
        <is>
          <t>2566-004</t>
        </is>
      </c>
      <c r="B155" s="5" t="inlineStr">
        <is>
          <t>post-Act</t>
        </is>
      </c>
      <c r="C155" s="5" t="inlineStr">
        <is>
          <t>โรงพยาบาลสมเด็จพระนางเจ้าสิริกิติ์</t>
        </is>
      </c>
      <c r="D155" s="5" t="n">
        <v>17</v>
      </c>
      <c r="E155" s="5" t="n">
        <v>1390342</v>
      </c>
      <c r="F155" s="5" t="inlineStr">
        <is>
          <t>1. ซื้อยา Protien+Fat+Cabohydrate+VitMinerals 400 G PWDR. ขนาดบรรจุ 1 CAN จำนวน 450 CAN โดยวิธีเฉพาะเจาะจง [274,455]
2. ซื้อยา Osimertinib 80 MG FC-TAB. ขนาดบรรจุ 30 TAB. จำนวน 2 BOX โดยวิธีเฉพาะเจาะจง [228,124]
3. ซื้อยา Protien+Fat+Cabohydrate+VitMinerals x 400 G POWDER ขนาดบรรจุ 1 CAN จำนวน 600 CAN โดยวิธีเฉพาะเจาะจง [224,700]
4. ซื้อยา Human serum albumin 20 G per 100 ML. x 50 ML. INJ. ขนาดบรรจุ 1 VIAL จำนวน 200 VIAL โดยวิธีเฉพาะเจาะจง [214,000]
5. ซื้อยา Protien+Fat+Cabohydrate+VitMinerals x 400 G POWDER ขนาดบรรจุ 1 CAN  จำนวน 450 CAN โดยวิธีเฉพาะเจาะจง [168,525]
6. ซื้อยา Hyaluronate sodium 20 mg per 2 mL x 2 mL INJ. ขนาดบรรจุ 3 prefilled syr. จำนวน 20 BOX โดยวิธีเฉพาะเจาะจง [99,510]
7. ซื้อยา BALANCE SALT 500 ML.   SOLUTION  ขนาดบรรจุ 1 BAG จำนวน 200 BAG โดยวิธีเฉพาะเจาะจง [30,388]
8. ซื้อสมุนไพร จำนวน 2 รายการ  โดยวิธีเฉพาะเจาะจง [21,367]
9. ซื้อยา Acetylcysteine 300 MG per 3 ML. INJ. ขนาดบรรจุ 5 AMP. จำนวน 200 BOX โดยวิธีเฉพาะเจาะจง [19,260]
10. ซื้อยา Fusidic Acid 5 G CREAM ขนาดบรรจุ 1 TUBE จำนวน 460 TUBE โดยวิธีเฉพาะเจาะจง [18,704]
11. ซื้อCAPD 1.5% x 2000 ML. ANDY DISC LINK INJ. ขนาดบรรจุ 1 BAG   จำนว 120 BAG โดยวิธีเฉพาะเจาะจง [18,490]
12. ซื้อCAPD 1.5 % x 2000 ML ANDY DISC LINK INJ. ขนาดบรรจุ 1 BAG จำนวน 108 BOX โดยวิธีเฉพาะเจาะจง [16,641]
13. ซื้อยา Netupitant 300 mg + Palonosetron 500 mcg CAP. ขนาดบรรจุ 1 CAP. จำนวน 6 BOX โดยวิธีเฉพาะเจาะจง [16,050]
14. ซื้อเภสัชภัณฑ์ จำนวน 2 รายการ โดยวิธีเฉพาะเจาะจง [13,536]
15. ซื้อยา Dronedarone 400 MG TAB. ขนาดบรรจุ 60 TAB. จำนวน 4 BOX โดยวิธีเฉพาะเจาะจง [11,672]
16. ซื้อยา BALANCE SALT 15 ML. SOLUTION  ขนาดบรรจุ 1 BOTT. จำนวน 100 BOTT. โดยวิธีเฉพาะเจาะจง [10,000]
17. ซื้อยา Fusidic acid+Hydrocortisone 5 G CREAM ขนาดบรรจุ 1 TUBE จำนวน 50 TUBE โดยวิธีเฉพาะเจาะจง [4,922]</t>
        </is>
      </c>
      <c r="G155" s="5" t="inlineStr">
        <is>
          <t>A</t>
        </is>
      </c>
      <c r="H155" s="6" t="n"/>
      <c r="I155" s="6" t="n"/>
    </row>
    <row r="156">
      <c r="A156" s="5" t="inlineStr">
        <is>
          <t>2566-005</t>
        </is>
      </c>
      <c r="B156" s="5" t="inlineStr">
        <is>
          <t>post-Act</t>
        </is>
      </c>
      <c r="C156" s="5" t="inlineStr">
        <is>
          <t>กรุงเทพมหานคร</t>
        </is>
      </c>
      <c r="D156" s="5" t="n">
        <v>2</v>
      </c>
      <c r="E156" s="5" t="n">
        <v>795200</v>
      </c>
      <c r="F156" s="5" t="inlineStr">
        <is>
          <t>1. ซื้อเครื่องคอมพิวเตอร์สำหรับสำนักงาน (จอแสดงภาพขนาดไม่น้อยกว่า 19 นิ้ว) พร้อมโปรแกรมระบบปฏิบัติการ (OS) แบบ GGWA ที่มีลิขสิทธิ์ถูกต้องตามกฏหมาย จำนวน 17 เครื่อง โดยวิธีเฉพาะเจาะจง [482,800]
2. ซื้อเครื่องคอมพิวเตอร์ สำหรับงานสำนักงาน (จอแสดงภาพขนาดไม่น้อยกว่า 19 นิ้ว) พร้อมโปรแกรมระบบปฏิบัติการ (OS) แบบ GGWA ที่มีลิขสิทธิ์ถูกต้องตามกฎหมาย 11 เครื่อง โดยวิธีเฉพาะเจาะจง [312,400]</t>
        </is>
      </c>
      <c r="G156" s="5" t="inlineStr">
        <is>
          <t>A</t>
        </is>
      </c>
      <c r="H156" s="6" t="n"/>
      <c r="I156" s="6" t="n"/>
    </row>
    <row r="157">
      <c r="A157" s="5" t="inlineStr">
        <is>
          <t>2566-006</t>
        </is>
      </c>
      <c r="B157" s="5" t="inlineStr">
        <is>
          <t>post-Act</t>
        </is>
      </c>
      <c r="C157" s="5" t="inlineStr">
        <is>
          <t>กรมป่าไม้</t>
        </is>
      </c>
      <c r="D157" s="5" t="n">
        <v>3</v>
      </c>
      <c r="E157" s="5" t="n">
        <v>525446</v>
      </c>
      <c r="F157" s="5" t="inlineStr">
        <is>
          <t>1. จ้างเหมารวบรวมและวิเคราะห์ข้อมูลชุมชนฯ ของโครงการสร้างป่าสร้างรายได้ตามพระราชดำริ สมเด็จพระกนิษฐาธิราชเจ้า กรมสมเด็จพระเทพรัตนราชสุดาฯ สยามบรมราชกุมารี อำเภอแม่แตง จังหวัดเชียงใหม่ พื้นที่ ๑ โดยวิธีเฉพาะเจาะจง [234,900]
2. จ้างเหมาบำรุงรักษาป่าปีที่ ๒-๖ จำนวน ๒๕๐ ไร่ ของหน่วยฟื้นฟูป่าต้นน้ำจังหวัดเชียงใหม่ ที่ ๑/๑ โดยวิธีเฉพาะเจาะจง [207,532]
3. จ้างเหมาบำรุงรักษาป่าปีที่ ๒-๖ จำนวน ๑๐๐ ไร่ ของหน่วยฟื้นฟูป่าต้นน้ำจังหวัดเชียงใหม่ ที่ ๑/๑ โดยวิธีเฉพาะเจาะจง [83,013]</t>
        </is>
      </c>
      <c r="G157" s="5" t="inlineStr">
        <is>
          <t>A</t>
        </is>
      </c>
      <c r="H157" s="6" t="n"/>
      <c r="I157" s="6" t="n"/>
    </row>
    <row r="158">
      <c r="A158" s="5" t="inlineStr">
        <is>
          <t>2566-007</t>
        </is>
      </c>
      <c r="B158" s="5" t="inlineStr">
        <is>
          <t>post-Act</t>
        </is>
      </c>
      <c r="C158" s="5" t="inlineStr">
        <is>
          <t>โรงพยาบาลน่าน</t>
        </is>
      </c>
      <c r="D158" s="5" t="n">
        <v>10</v>
      </c>
      <c r="E158" s="5" t="n">
        <v>842284</v>
      </c>
      <c r="F158" s="5" t="inlineStr">
        <is>
          <t>1. ซื้อยาในบัญชียาหลักแห่งชาติ จำนวน ๒ รายการ ตามรายละเอียดแนบท้าย จำนวน ๑ ชุด โดยวิธีเฉพาะเจาะจง [329,346]
2. ซื้อเวชภัณฑ์ที่มิใช่ยาประเภท วัสดุเย็บแผล จำนวน  ๕ รายการ  โดยวิธีเฉพาะเจาะจง [163,460]
3. ซื้อเวชภัณฑ์ที่มิใช่ยาประเภท Colostomy Bag จำนวน ๖๐ กล่อง โดยวิธีเฉพาะเจาะจง [88,596]
4. ซื้อยาในบัญชียาหลักแห่งชาติ จำนวน ๒ รายการ ตามรายละเอียดแนบท้าย จำนวน ๑ ชุด โดยวิธีเฉพาะเจาะจง [68,970]
5. ซื้อเวชภัณฑ์ที่มิใช่ยา ประเภท แถบวัดน้ำตาลในเลือด (Instant) จำนวน ๓๖๐ กล่อง โดยวิธีเฉพาะเจาะจง [57,780]
6. ซื้อเวชภัณฑ์ที่มิใช่ยา จำนวน ๓ รายการ โดยวิธีเฉพาะเจาะจง [49,110]
7. ซื้อชุดสายสวนกระเพาะอาหารแบบใส่ผ่านกล้อง  กรณีเปลี่ยนเฉพาะสายไม่ต้อง    เปลี่ยนทั้งชุด  (Replacement Percutaneous Endoscopic Gastrostomy)  โดยวิธีเฉพาะเจาะจง [45,004]
8. ซื้อเวชภัณฑ์ที่มิใช่ยาประเภท วัสดุเย็บแผลชนิดละลายแบบเส้นเดี่ยว Chromic cat gut จำนวน ๒ รายการ โดยวิธีเฉพาะเจาะจง [21,346]
9. ซื้อเวชภัณฑ์ที่มิใช่ยาประเภท วัสดุเย็บแผลชนิดไม่ละลายแบบเส้นถัก ขนาด 3/0  W/O ความยาวไม่น้อยกว่า 15x60 CM (C0284858) 36PC/B จำนวน ๑๕ โหล โดยวิธีเฉพาะเจาะจง [10,112]
10. ซื้อเวชภัณฑ์ที่มิใช่ยาประเภท กระบอกฉีดยาพร้อมเข็มผ่านผิวหนังปราศจากเชื้อชนิดใช้ครั้งเดียว(STERILE HYPODERMIC SYRINGE WITH NEEDLE FOR SINGLE USE) SYRINGE 3 ML WITH NEEDLE  21x1.5 INCH    จำนวน ๔๐ กล่อง โดยวิธีเฉพาะเจาะจง [8,560]</t>
        </is>
      </c>
      <c r="G158" s="5" t="inlineStr">
        <is>
          <t>A</t>
        </is>
      </c>
      <c r="H158" s="6" t="n"/>
      <c r="I158" s="6" t="n"/>
    </row>
    <row r="159">
      <c r="A159" s="5" t="inlineStr">
        <is>
          <t>2566-008</t>
        </is>
      </c>
      <c r="B159" s="5" t="inlineStr">
        <is>
          <t>post-Act</t>
        </is>
      </c>
      <c r="C159" s="5" t="inlineStr">
        <is>
          <t>องค์การบริหารส่วนตำบลโพธิ์</t>
        </is>
      </c>
      <c r="D159" s="5" t="n">
        <v>2</v>
      </c>
      <c r="E159" s="5" t="n">
        <v>939000</v>
      </c>
      <c r="F159" s="5" t="inlineStr">
        <is>
          <t>1. จ้างโครงการก่อสร้างถนนดิน สายสามแยกบ่อนไก่-หน้าสุสาน (เป็นช่วงๆ) หมู่ที่2 บ้านอีลอก โดยวิธีเฉพาะเจาะจง [489,000]
2. จ้างโครงการก่อสร้างถนนดิน สายป่าช้าโนนกอง-ทางรถไฟ (เป็นช่วงๆ) หมู่ที่6 บ้านโนนกอง โดยวิธีเฉพาะเจาะจง [450,000]</t>
        </is>
      </c>
      <c r="G159" s="5" t="inlineStr">
        <is>
          <t>A</t>
        </is>
      </c>
      <c r="H159" s="6" t="n"/>
      <c r="I159" s="6" t="n"/>
    </row>
    <row r="160">
      <c r="A160" s="5" t="inlineStr">
        <is>
          <t>2566-009</t>
        </is>
      </c>
      <c r="B160" s="5" t="inlineStr">
        <is>
          <t>post-Act</t>
        </is>
      </c>
      <c r="C160" s="5" t="inlineStr">
        <is>
          <t>องค์การบริหารส่วนตำบลทมนางาม</t>
        </is>
      </c>
      <c r="D160" s="5" t="n">
        <v>2</v>
      </c>
      <c r="E160" s="5" t="n">
        <v>897500</v>
      </c>
      <c r="F160" s="5" t="inlineStr">
        <is>
          <t>1. จ้างปรับปรุงถนนลูกรังบ้านหาดสถาพร หมู่ที่ 5  จำนวน 2 สายทาง โดยวิธีเฉพาะเจาะจง [498,500]
2. จ้างปรับปรุงถนนลูกรังบ้านทมนางาม หมู่ที่ 9 สายจากบ้านนายขาล  ฝ่ายแก้วไปสามแยกถนนคอนกรีต บ้านทมนาดี หมู่ที่ 4ไปบ้านห้วยหมากหล่ำ หมู่ที่ 6  โดยวิธีเฉพาะเจาะจง [399,000]</t>
        </is>
      </c>
      <c r="G160" s="5" t="inlineStr">
        <is>
          <t>A</t>
        </is>
      </c>
      <c r="H160" s="6" t="n"/>
      <c r="I160" s="6" t="n"/>
    </row>
    <row r="161">
      <c r="A161" s="5" t="inlineStr">
        <is>
          <t>2566-010</t>
        </is>
      </c>
      <c r="B161" s="5" t="inlineStr">
        <is>
          <t>post-Act</t>
        </is>
      </c>
      <c r="C161" s="5" t="inlineStr">
        <is>
          <t>องค์การบริหารส่วนตำบลไผ่หูช้าง</t>
        </is>
      </c>
      <c r="D161" s="5" t="n">
        <v>3</v>
      </c>
      <c r="E161" s="5" t="n">
        <v>858000</v>
      </c>
      <c r="F161" s="5" t="inlineStr">
        <is>
          <t>1. จ้างก่อสร้างโครงการก่อสร้างถนนลาดยางแอสฟัลท์ติกคอนกรีตสายปากกระทา หมู่ที่ ๖ ตำบลไผ่หูช้าง ขนาดกว้าง ๔.๐๐ เมตร ระยะทางยาว ๒๙๐ เมตร พื้นที่ ๑,๑๖๐ ตารางเมตร หนาเฉลี่ย ๐.๐๕ เมตร ตามแบบขององค์การบริหารส่วนตำบลไผ่หูช้าง พร้อมติดตั้งป้ายประชาสัมพันธ์โครงการ จำนวน ๑ ป้าย  โดยวิธีเฉพาะเจาะจง [483,000]
2. จ้างก่อสร้างโครงการยกระดับถนนดินพร้อมหินคลุกบดอัดสายเลียบคลองนครชัยศรี ๔ หมู่ที่ ๖ ตำบลไผ่หูช้าง (จุดที่ ๑) บริเวณบ้านนายสมพิศ (จุดที่ ๒) ซอยศาลาประชาคม ตามแบบขององค์การบริหารส่วนตำบลไผ่หูช้าง พร้อมติดตั้งป้ายประชาสัมพันธ์โครงการ จำนวน ๑ ป้าย โดยวิธีเฉพาะเจาะจง [194,000]
3. จ้างก่อสร้างโครงการก่อสร้างถนนลาดยางแอสฟัลท์ติกคอนกรีตสายเลียบคลองนครชัยศรี ๔ หมู่ที่ ๖ ตำบลไผ่หูช้าง ขนาดกว้าง ๔.๐๐ เมตร ระยะทางยาว ๗๓ เมตร พื้นที่ ๒๙๒ ตารางเมตร หนาเฉลี่ย ๐.๐๕ เมตร โดยมีชั้นรองพื้นทางหินคลุกหนาเฉลี่ย ๐.๑๕ เมตร ตามแบบขององค์การบริหารส่วนตำบลไผ่หูช้าง พร้อมติดตั้งป้ายประชาสัมพันธ์โครงการ จำนวน ๑ ป้าย โดยวิธีเฉพาะเจาะจง [181,000]</t>
        </is>
      </c>
      <c r="G161" s="5" t="inlineStr">
        <is>
          <t>A</t>
        </is>
      </c>
      <c r="H161" s="6" t="n"/>
      <c r="I161" s="6" t="n"/>
    </row>
    <row r="162">
      <c r="A162" s="5" t="inlineStr">
        <is>
          <t>2566-011</t>
        </is>
      </c>
      <c r="B162" s="5" t="inlineStr">
        <is>
          <t>post-Act</t>
        </is>
      </c>
      <c r="C162" s="5" t="inlineStr">
        <is>
          <t>โรงพยาบาลพิจิตร</t>
        </is>
      </c>
      <c r="D162" s="5" t="n">
        <v>9</v>
      </c>
      <c r="E162" s="5" t="n">
        <v>762460</v>
      </c>
      <c r="F162" s="5" t="inlineStr">
        <is>
          <t>1.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[99,000]
2.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[98,800]
3.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[98,800]
4.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[98,800]
5.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[98,700]
6.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[95,000]
7.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[87,100]
8.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[81,510]
9. จ้างค่าบำรุงน้ำยาตรวจโลหิต และผลิตภัณฑ์ต่างๆ  ด้วยเงินบำรุงของโรงพยาบาลพิจิตร โดยวิธีเฉพาะเจาะจง [4,750]</t>
        </is>
      </c>
      <c r="G162" s="5" t="inlineStr">
        <is>
          <t>A</t>
        </is>
      </c>
      <c r="H162" s="6" t="n"/>
      <c r="I162" s="6" t="n"/>
    </row>
    <row r="163">
      <c r="A163" s="5" t="inlineStr">
        <is>
          <t>2566-012</t>
        </is>
      </c>
      <c r="B163" s="5" t="inlineStr">
        <is>
          <t>post-Act</t>
        </is>
      </c>
      <c r="C163" s="5" t="inlineStr">
        <is>
          <t>กรุงเทพมหานคร</t>
        </is>
      </c>
      <c r="D163" s="5" t="n">
        <v>2</v>
      </c>
      <c r="E163" s="5" t="n">
        <v>547975</v>
      </c>
      <c r="F163" s="5" t="inlineStr">
        <is>
          <t>1. จ้างงานขุดลอกลำกระโดงสาธารณประโยชน์ จากชุมชนสุขสวัสดิ์ 36 ถึงคลองราษฎร์บูรณะ โดยวิธีเฉพาะเจาะจง [290,510]
2. จ้างงานปรับปรุงโรงเรียนรัตนจีนะอุทิศ โดยวิธีเฉพาะเจาะจง [257,465]</t>
        </is>
      </c>
      <c r="G163" s="5" t="inlineStr">
        <is>
          <t>B</t>
        </is>
      </c>
      <c r="H163" s="6" t="n"/>
      <c r="I163" s="6" t="n"/>
    </row>
    <row r="164">
      <c r="A164" s="5" t="inlineStr">
        <is>
          <t>2566-013</t>
        </is>
      </c>
      <c r="B164" s="5" t="inlineStr">
        <is>
          <t>post-Act</t>
        </is>
      </c>
      <c r="C164" s="5" t="inlineStr">
        <is>
          <t>เทศบาลเมืองบุรีรัมย์</t>
        </is>
      </c>
      <c r="D164" s="5" t="n">
        <v>6</v>
      </c>
      <c r="E164" s="5" t="n">
        <v>724275</v>
      </c>
      <c r="F164" s="5" t="inlineStr">
        <is>
          <t>1. ซื้ออาหารเสริม (นม) โรงเรียน สำหรับนักเรียนโรงเรียนอนุบาลบุรีรัมย์ โดยวิธีเฉพาะเจาะจง [263,112]
2. ซื้ออาหารเสริม (นม) โรงเรียน สำหรับนักเรียนโรงเรียนเทศบาล ๑ โดยวิธีเฉพาะเจาะจง [182,467]
3. ซื้ออาหารเสริม (นม) โรงเรียน สำหรับนักเรียนโรงเรียนเทศบาล ๒ โดยวิธีเฉพาะเจาะจง [140,136]
4. ซื้ออาหารเสริม (นม) โรงเรียน สำหรับนักเรียนโรงเรียนเทศบาล 3 โดยวิธีเฉพาะเจาะจง [76,821]
5. ซื้ออาหารเสริม (นม) โรงเรียน สำหรับนักเรียนโรงเรียนเขตการทางสงเคราะห์ 5 ไตรคามสิทธิศิลป์ โดยวิธีเฉพาะเจาะจง [51,806]
6. ซื้ออาหารเสริม (นม) โรงเรียน สำหรับนักเรียนศูนย์พัฒนาเด็กเล็ก เทศบาลเมืองบุรีรัมย์ โดยวิธีเฉพาะเจาะจง [9,933]</t>
        </is>
      </c>
      <c r="G164" s="5" t="inlineStr">
        <is>
          <t>A</t>
        </is>
      </c>
      <c r="H164" s="6" t="n"/>
      <c r="I164" s="6" t="n"/>
    </row>
    <row r="165">
      <c r="A165" s="5" t="inlineStr">
        <is>
          <t>2566-014</t>
        </is>
      </c>
      <c r="B165" s="5" t="inlineStr">
        <is>
          <t>post-Act</t>
        </is>
      </c>
      <c r="C165" s="5" t="inlineStr">
        <is>
          <t>องค์การบริหารส่วนตำบลหินตั้ง</t>
        </is>
      </c>
      <c r="D165" s="5" t="n">
        <v>2</v>
      </c>
      <c r="E165" s="5" t="n">
        <v>552400</v>
      </c>
      <c r="F165" s="5" t="inlineStr">
        <is>
          <t>1. จ้างถนนคอนกรีตเสริมเหล็กบ้านป่างิ้วหมู่ที่ 4 เส้นวัดเจ้าปู่ภูเหล็ก โดยวิธีเฉพาะเจาะจง [285,400]
2. จ้างก่อสร้างถนนคอนกรีตเสริมเหล็กบ้านโนนทองหมู่ที่ 6 เส้นโนนทอง-ดอนนาแพง โดยวิธีเฉพาะเจาะจง [267,000]</t>
        </is>
      </c>
      <c r="G165" s="5" t="inlineStr">
        <is>
          <t>A</t>
        </is>
      </c>
      <c r="H165" s="6" t="n"/>
      <c r="I165" s="6" t="n"/>
    </row>
    <row r="166">
      <c r="A166" s="5" t="inlineStr">
        <is>
          <t>2566-015</t>
        </is>
      </c>
      <c r="B166" s="5" t="inlineStr">
        <is>
          <t>post-Act</t>
        </is>
      </c>
      <c r="C166" s="5" t="inlineStr">
        <is>
          <t>กรมชลประทาน</t>
        </is>
      </c>
      <c r="D166" s="5" t="n">
        <v>7</v>
      </c>
      <c r="E166" s="5" t="n">
        <v>760694</v>
      </c>
      <c r="F166" s="5" t="inlineStr">
        <is>
          <t>1. ซื้อแผ่นไม้อัดยาง และอื่นๆ จำนวน 31 รายการ โดยวิธีเฉพาะเจาะจง [495,000]
2. ซื้องานคอนกรีตดาด  และอื่น ๆ จำนวน 3 รายการ โดยวิธีเฉพาะเจาะจง [115,724]
3. ซื้อเชือกปอมะนิลา และอื่น ๆ จำนวน 14 รายการ โดยวิธีเฉพาะเจาะจง [55,000]
4. ซื้อร่มสนาม และอื่น ๆ จำนวน 6 รายการ โดยวิธีเฉพาะเจาะจง [36,970]
5. ซื้อพลั่วปลายแหลมพร้อมด้าม และอื่น ๆ จำนวน 7 รายการ โดยวิธีเฉพาะเจาะจง [28,000]
6. ซื้อไม้กวาดดอกหญ้า และอื่น ๆ จำนวน 24 รายการ โดยวิธีเฉพาะเจาะจง [20,000]
7. ซื้อรองเท้าบู๊ชยาง และอื่น ๆ จำนวน 6 รายการ โดยวิธีเฉพาะเจาะจง [10,000]</t>
        </is>
      </c>
      <c r="G166" s="5" t="inlineStr">
        <is>
          <t>B</t>
        </is>
      </c>
      <c r="H166" s="6" t="n"/>
      <c r="I166" s="6" t="n"/>
    </row>
    <row r="167">
      <c r="A167" s="5" t="inlineStr">
        <is>
          <t>2566-016</t>
        </is>
      </c>
      <c r="B167" s="5" t="inlineStr">
        <is>
          <t>post-Act</t>
        </is>
      </c>
      <c r="C167" s="5" t="inlineStr">
        <is>
          <t>การไฟฟ้าฝ่ายผลิตแห่งประเทศไทย</t>
        </is>
      </c>
      <c r="D167" s="5" t="n">
        <v>2</v>
      </c>
      <c r="E167" s="5" t="n">
        <v>955938</v>
      </c>
      <c r="F167" s="5" t="inlineStr">
        <is>
          <t>1. จ้างทำฐาน ATS บริเวณเรือนรับรอง เหมืองแม่เมาะ จำนวน 1 งาน  (1200175585) โดยวิธีเฉพาะเจาะจง [489,846]
2. จ้างติดตั้งสาย CABLE บริเวณคลอง MAIN DIVERSION LINE D จำนวน 1 งาน (1200175233) โดยวิธีเฉพาะเจาะจง [466,092]</t>
        </is>
      </c>
      <c r="G167" s="5" t="inlineStr">
        <is>
          <t>B</t>
        </is>
      </c>
      <c r="H167" s="6" t="n"/>
      <c r="I167" s="6" t="n"/>
    </row>
    <row r="168">
      <c r="A168" s="5" t="inlineStr">
        <is>
          <t>2566-017</t>
        </is>
      </c>
      <c r="B168" s="5" t="inlineStr">
        <is>
          <t>post-Act</t>
        </is>
      </c>
      <c r="C168" s="5" t="inlineStr">
        <is>
          <t>กองทัพเรือ</t>
        </is>
      </c>
      <c r="D168" s="5" t="n">
        <v>2</v>
      </c>
      <c r="E168" s="5" t="n">
        <v>642800</v>
      </c>
      <c r="F168" s="5" t="inlineStr">
        <is>
          <t>1. จ้างซ่อมทำหลังคาที่ตากผ้า ภาค 2 กนร.ฯ โดยวิธีเฉพาะเจาะจง [386,000]
2. จ้างติดตั้งหลังคาดาดฟ้าห้องน้ำสำหรับตากผ้า ภาค 6 กนร.ฯ โดยวิธีเฉพาะเจาะจง [256,800]</t>
        </is>
      </c>
      <c r="G168" s="5" t="inlineStr">
        <is>
          <t>A</t>
        </is>
      </c>
      <c r="H168" s="6" t="n"/>
      <c r="I168" s="6" t="n"/>
    </row>
    <row r="169">
      <c r="A169" s="5" t="inlineStr">
        <is>
          <t>2566-018</t>
        </is>
      </c>
      <c r="B169" s="5" t="inlineStr">
        <is>
          <t>post-Act</t>
        </is>
      </c>
      <c r="C169" s="5" t="inlineStr">
        <is>
          <t>โรงพยาบาลค่ายสมเด็จพระนเรศวร</t>
        </is>
      </c>
      <c r="D169" s="5" t="n">
        <v>3</v>
      </c>
      <c r="E169" s="5" t="n">
        <v>694438</v>
      </c>
      <c r="F169" s="5" t="inlineStr">
        <is>
          <t>1. ซื้อยา Jardiance 10 mg. จำนวน 370 กล่อง โดยวิธีเฉพาะเจาะจง [498,834]
2. ซื้อยา Nuelin SR 200 mg. จำนวน 120 กล่อง, VERORAB VACCINE inj จำนวน 300 Amphule, Unasyn 3 gm จำนวน 100 Vial, Boostrix 0.5 ml. จำนวน 30 กล่อง โดยวิธีเฉพาะเจาะจง [131,404]
3. ซื้อยา Zafatek 100 mg. จำนวน 20 กล่อง โดยวิธีเฉพาะเจาะจง [64,200]</t>
        </is>
      </c>
      <c r="G169" s="5" t="inlineStr">
        <is>
          <t>B</t>
        </is>
      </c>
      <c r="H169" s="6" t="n"/>
      <c r="I169" s="6" t="n"/>
    </row>
    <row r="170">
      <c r="A170" s="5" t="inlineStr">
        <is>
          <t>2566-019</t>
        </is>
      </c>
      <c r="B170" s="5" t="inlineStr">
        <is>
          <t>post-Act</t>
        </is>
      </c>
      <c r="C170" s="5" t="inlineStr">
        <is>
          <t>กรมพัฒนาที่ดิน</t>
        </is>
      </c>
      <c r="D170" s="5" t="n">
        <v>3</v>
      </c>
      <c r="E170" s="5" t="n">
        <v>874000</v>
      </c>
      <c r="F170" s="5" t="inlineStr">
        <is>
          <t>1. จ้างเหมาขุดสระเก็บน้ำในไร่นานอกเขตชลประทาน ขนาด 1,260 ลบ.ม. ในพื้นที่ ตำบลเสือโก้ก อำเภอวาปีปทุม จังหวัดมหาสารคาม (รวมเงินสมทบจากเกษตรกร บ่อละ 2,500 บาท) จำนวน 19 บ่อ รวมเป็นเงินทั้งสิ้น 438,900 บาท (สี่แสนสามหมื่นแปดพันเก้าร้อยบาทถ้วน) โดยวิธีเฉพาะเจาะจง [437,000]
2. จ้างเหมาขุดสระเก็บน้ำในไร่นานอกเขตชลประทาน ขนาด 1,260 ลบ.ม. ในพื้นที่ ตำบลหนองแสน อำเภอวาปีปทุม จังหวัดมหาสารคาม (รวมเงินสมทบจากเกษตรกร บ่อละ 2,500 บาท) จำนวน 15 บ่อ รวมเป็นเงินทั้งสิ้น 346,500 บาท (สามแสนสี่หมื่นหกพันห้าร้อยบาทถ้วน) โดยวิธีเฉพาะเจาะจง [345,000]
3. จ้างจ้างเหมาขุดสระเก็บน้ำในไร่นานอกเขตชลประทาน ขนาด 1,260 ลบ.ม. ในพื้นที่ ตำบลหนองทุ่ม อำเภอวาปีปทุม จังหวัดมหาสารคาม (รวมเงินสมทบจากเกษตรกร บ่อละ 2,500 บาท) จำนวน 4 บ่อ รวมเป็นเงินทั้งสิ้น 92,400 บาท (เก้าหมื่นสองพันสี่ร้อยบาทถ้วน) โดยวิธีเฉพาะเจาะจง [92,000]</t>
        </is>
      </c>
      <c r="G170" s="5" t="inlineStr">
        <is>
          <t>A</t>
        </is>
      </c>
      <c r="H170" s="6" t="n"/>
      <c r="I170" s="6" t="n"/>
    </row>
    <row r="171">
      <c r="A171" s="5" t="inlineStr">
        <is>
          <t>2566-020</t>
        </is>
      </c>
      <c r="B171" s="5" t="inlineStr">
        <is>
          <t>post-Act</t>
        </is>
      </c>
      <c r="C171" s="5" t="inlineStr">
        <is>
          <t>องค์การบริหารส่วนตำบลกวางโจน</t>
        </is>
      </c>
      <c r="D171" s="5" t="n">
        <v>2</v>
      </c>
      <c r="E171" s="5" t="n">
        <v>543800</v>
      </c>
      <c r="F171" s="5" t="inlineStr">
        <is>
          <t>1. ซื้อวัสสดุก่อสร้าง จำนวน 2 รายการ (กองช่าง) โดยวิธีเฉพาะเจาะจง [495,200]
2. ซื้อชุดกีฬาและถ้วยรางวัล จำนวน 4 รายการ กีฬาเชื่อมความสัมพันธ์ระหว่างองค์การ (กองการศึกษาฯ) โดยวิธีเฉพาะเจาะจง [48,600]</t>
        </is>
      </c>
      <c r="G171" s="5" t="inlineStr">
        <is>
          <t>B</t>
        </is>
      </c>
      <c r="H171" s="6" t="n"/>
      <c r="I171" s="6" t="n"/>
    </row>
    <row r="172">
      <c r="A172" s="5" t="inlineStr">
        <is>
          <t>2566-021</t>
        </is>
      </c>
      <c r="B172" s="5" t="inlineStr">
        <is>
          <t>post-Act</t>
        </is>
      </c>
      <c r="C172" s="5" t="inlineStr">
        <is>
          <t>โรงพยาบาลอุตรดิตถ์</t>
        </is>
      </c>
      <c r="D172" s="5" t="n">
        <v>6</v>
      </c>
      <c r="E172" s="5" t="n">
        <v>903845</v>
      </c>
      <c r="F172" s="5" t="inlineStr">
        <is>
          <t>1. ซื้อยา จำนวน   1   รายการ  M66-2320 โดยวิธีเฉพาะเจาะจง [491,130]
2. ซื้อยา จำนวน  1  รายการ  M66-2273 โดยวิธีเฉพาะเจาะจง [157,500]
3. ซื้อยา จำนวน   1   รายการ  M66-2272 โดยวิธีเฉพาะเจาะจง [146,890]
4. ซื้อยา จำนวน  3  รายการ  M66-2319 โดยวิธีเฉพาะเจาะจง [85,030]
5. ซื้อยา จำนวน  2  รายการ  M66-2282 โดยวิธีเฉพาะเจาะจง [19,345]
6. ซื้อยา จำนวน  1  รายการ  M66-2232 โดยวิธีเฉพาะเจาะจง [3,950]</t>
        </is>
      </c>
      <c r="G172" s="5" t="inlineStr">
        <is>
          <t>C</t>
        </is>
      </c>
      <c r="H172" s="6" t="n"/>
      <c r="I172" s="6" t="n"/>
    </row>
    <row r="173">
      <c r="A173" s="5" t="inlineStr">
        <is>
          <t>2566-022</t>
        </is>
      </c>
      <c r="B173" s="5" t="inlineStr">
        <is>
          <t>post-Act</t>
        </is>
      </c>
      <c r="C173" s="5" t="inlineStr">
        <is>
          <t>โรงพยาบาลวชิระภูเก็ต</t>
        </is>
      </c>
      <c r="D173" s="5" t="n">
        <v>2</v>
      </c>
      <c r="E173" s="5" t="n">
        <v>796400</v>
      </c>
      <c r="F173" s="5" t="inlineStr">
        <is>
          <t>1. ซื้อยาจำนวน 1 รายการ (6603563) โดยวิธีเฉพาะเจาะจง [496,400]
2. ซื้อยาจำนวน 1 รายการ (6603564) โดยวิธีเฉพาะเจาะจง [300,000]</t>
        </is>
      </c>
      <c r="G173" s="5" t="inlineStr">
        <is>
          <t>C</t>
        </is>
      </c>
      <c r="H173" s="6" t="n"/>
      <c r="I173" s="6" t="n"/>
    </row>
    <row r="174">
      <c r="A174" s="5" t="inlineStr">
        <is>
          <t>2566-023</t>
        </is>
      </c>
      <c r="B174" s="5" t="inlineStr">
        <is>
          <t>post-Act</t>
        </is>
      </c>
      <c r="C174" s="5" t="inlineStr">
        <is>
          <t>โรงพยาบาลสระบุรี</t>
        </is>
      </c>
      <c r="D174" s="5" t="n">
        <v>18</v>
      </c>
      <c r="E174" s="5" t="n">
        <v>1348030</v>
      </c>
      <c r="F174" s="5" t="inlineStr">
        <is>
          <t>1. ซื้อยา LEFLUNOMIDE 20 MG TABLET (IN00186646) โดยวิธีเฉพาะเจาะจง [425,000]
2. ซื้อยา CYCLOSPORIN 100 MG CAPSULE (IN00186752) โดยวิธีเฉพาะเจาะจง [268,000]
3. ซื้อยา SULFASALAZINE  500 MG EC TABLET (IN00186890) โดยวิธีเฉพาะเจาะจง [244,000]
4. ซื้อยา MONTELUKAST SODIUM 10 MG TABLET (IN00186650) โดยวิธีเฉพาะเจาะจง [87,500]
5. ซื้อยา NICERGOLINE 10 MG TABLET (IN00186491) โดยวิธีเฉพาะเจาะจง [79,500]
6. ซื้อยา FEXOFENADINE HCL 60 MG TABLET (IN00186457) โดยวิธีเฉพาะเจาะจง [54,000]
7. ซื้อยา METHIMAZOLE 5 MG TABLET (IN00186821) โดยวิธีเฉพาะเจาะจง [23,100]
8. ซื้อยา BETAHISTINE MESYLATE 6 MG TABLET (IN00186682) โดยวิธีเฉพาะเจาะจง [22,500]
9. ซื้อยา LEVOTHYROXINE SODIUM 100 MCG TABLET (IN00186759) โดยวิธีเฉพาะเจาะจง [21,000]
10. ซื้อยา WARFARIN SODIUM  3 MG TABLET (IN00186887) โดยวิธีเฉพาะเจาะจง [19,500]
11. ซื้อยา WARFARIN SODIUM 5 MG TABLET (IN00186888) โดยวิธีเฉพาะเจาะจง [18,000]
12. ซื้อยา WARFARIN SODIUM 4 MG TABLET (IN00187169) โดยวิธีเฉพาะเจาะจง [16,800]
13. ซื้อยา WARFARIN SODIUM 2 MG TABLET (IN00186885) โดยวิธีเฉพาะเจาะจง [16,000]
14. ซื้อยา TIZANIDINE 2 MG TABLET (IN00186915) โดยวิธีเฉพาะเจาะจง [15,000]
15. ซื้อยา IRBESARTAN 150 MG TABLET (IN00186468) โดยวิธีเฉพาะเจาะจง [15,000]
16. ซื้อยา DESOXIMETASONE 2.5 MG(0.25%), 10 G CREAM (IN00186604) โดยวิธีเฉพาะเจาะจง [11,040]
17. ซื้อยา EPERISONE HCL 50 MG TABLET (IN00186451) โดยวิธีเฉพาะเจาะจง [8,250]
18. ซื้อยา OXYMETAZOLINE 0.05%,10 ML NASAL SPRAY (IN00186635) โดยวิธีเฉพาะเจาะจง [3,840]</t>
        </is>
      </c>
      <c r="G174" s="5" t="inlineStr">
        <is>
          <t>B</t>
        </is>
      </c>
      <c r="H174" s="6" t="n"/>
      <c r="I174" s="6" t="n"/>
    </row>
    <row r="175">
      <c r="A175" s="5" t="inlineStr">
        <is>
          <t>2566-024</t>
        </is>
      </c>
      <c r="B175" s="5" t="inlineStr">
        <is>
          <t>post-Act</t>
        </is>
      </c>
      <c r="C175" s="5" t="inlineStr">
        <is>
          <t>โรงพยาบาลพระมงกุฎเกล้า</t>
        </is>
      </c>
      <c r="D175" s="5" t="n">
        <v>2</v>
      </c>
      <c r="E175" s="5" t="n">
        <v>975167</v>
      </c>
      <c r="F175" s="5" t="inlineStr">
        <is>
          <t>1. ซื้อสป.สิ้นเปลือง สาย พ. (ว.1402/65) จำนวน 5 รายการ โดยวิธีเฉพาะเจาะจง [493,667]
2. ซื้อยา MOSAPRIDE 5 MG TAB (30/BX) (ย.2301/65) จำนวน 1 รายการ โดยวิธีเฉพาะเจาะจง [481,500]</t>
        </is>
      </c>
      <c r="G175" s="5" t="inlineStr">
        <is>
          <t>B</t>
        </is>
      </c>
      <c r="H175" s="6" t="n"/>
      <c r="I175" s="6" t="n"/>
    </row>
    <row r="176">
      <c r="A176" s="5" t="inlineStr">
        <is>
          <t>2566-025</t>
        </is>
      </c>
      <c r="B176" s="5" t="inlineStr">
        <is>
          <t>post-Act</t>
        </is>
      </c>
      <c r="C176" s="5" t="inlineStr">
        <is>
          <t>กรมการปกครอง</t>
        </is>
      </c>
      <c r="D176" s="5" t="n">
        <v>2</v>
      </c>
      <c r="E176" s="5" t="n">
        <v>980000</v>
      </c>
      <c r="F176" s="5" t="inlineStr">
        <is>
          <t>1. จ้างโครงการเสริมผิว Asphaltic Concrete บนถนน คสล.เลียบคลองชลประทาน 7 ซ้าย (ฝั่งซ้าย) หมู่ที่ 5 ตำบลม่วงหมู่ โดยวิธีเฉพาะเจาะจง [490,000]
2. จ้างโครงการซ่อมแซมถนนลาดยางสาย สห.ถ.33001 หมู่ที่ 2 (บ้านเกาะวิวัฒนา) ตำบลม่วงหมู่ โดยวิธีเฉพาะเจาะจง [490,000]</t>
        </is>
      </c>
      <c r="G176" s="5" t="inlineStr">
        <is>
          <t>A</t>
        </is>
      </c>
      <c r="H176" s="6" t="n"/>
      <c r="I176" s="6" t="n"/>
    </row>
    <row r="177">
      <c r="A177" s="5" t="inlineStr">
        <is>
          <t>2568-001</t>
        </is>
      </c>
      <c r="B177" s="5" t="inlineStr">
        <is>
          <t>post-Act</t>
        </is>
      </c>
      <c r="C177" s="5" t="inlineStr">
        <is>
          <t>องค์การบริหารส่วนตำบลลือ</t>
        </is>
      </c>
      <c r="D177" s="5" t="n">
        <v>3</v>
      </c>
      <c r="E177" s="5" t="n">
        <v>1152000</v>
      </c>
      <c r="F177" s="5" t="inlineStr">
        <is>
          <t>1. จ้างโครงการก่อสร้างถนนแอสฟัลท์ติกคอนกรีตทับ คสล.เดิมภายในหมู่บ้าน บ้านหนองลุมพุก หมู่ 1  จำนวน  3  สาย โดยวิธีเฉพาะเจาะจง [469,000]
2. จ้างโครงการก่อสร้างถนนแอสฟัลท์ติกคอนกรีตทับ คสล.เดิม สายทางข้างร้านค้าชุมชน บ้านหนองยาง หมู่ 5   โดยวิธีเฉพาะเจาะจง [441,000]
3. จ้างโครงการก่อสร้างถนนแอสฟัลท์ติกคอนกรีตทับ คสล.เดิม สายทางซอยสมใจ บ้านนาคำ หมู่ที่ 4 โดยวิธีเฉพาะเจาะจง [242,000]</t>
        </is>
      </c>
      <c r="G177" s="5" t="inlineStr">
        <is>
          <t>A</t>
        </is>
      </c>
      <c r="H177" s="6" t="n"/>
      <c r="I177" s="6" t="n"/>
    </row>
    <row r="178">
      <c r="A178" s="5" t="inlineStr">
        <is>
          <t>2568-002</t>
        </is>
      </c>
      <c r="B178" s="5" t="inlineStr">
        <is>
          <t>post-Act</t>
        </is>
      </c>
      <c r="C178" s="5" t="inlineStr">
        <is>
          <t>กรมการปกครอง</t>
        </is>
      </c>
      <c r="D178" s="5" t="n">
        <v>2</v>
      </c>
      <c r="E178" s="5" t="n">
        <v>660000</v>
      </c>
      <c r="F178" s="5" t="inlineStr">
        <is>
          <t>1. ซื้อเป็ดเทศและวัสดุอุปกรณ์กิจกรรมขับเคลื่อนกลไกสภาตำบลสันติสุขตำบลสนับสนุนการพัฒนาตำบลมั่นคง มั่งคั่ง ยั่งยืน ในพื้นที่จังหวัดชายแดนภาคใต้ ประจำปีงบประมาณ พ.ศ. 2568 กิจกรรมย่อย ส่งเสริมอาชีพการเลี้ยงเป็ดเทศ สภาสันติสุข            ตำบลไม้แก่น อำเภอไม้แก่น จังหวัดปัตตานี โดยวิธีเฉพาะเจาะจง [500,000]
2. ซื้อพันธุ์เป็ดเทศและวัสดุอุปกรณ์ทางการเกษตรตามกิจกรรมสนับสนุนให้กับตำบลในการบูรณาการขับเคลื่อนขจัดความยากจนแบบชี้เป้า กิจกรรมย่อย ส่งเสริมอาชีพการเลี้ยงเป็ดเทศ และกิจกรรมย่อย ส่งเสริมอาชีพการปลูกผักสวนครัวตามแนวทางปรัชญาเศรษฐกิจพอเพียง  สภาสันติสุขตำบลไม้แก่น อำเภอไม้แก่น จังหวัดปัตตานี โดยวิธีเฉพาะเจาะจง [160,000]</t>
        </is>
      </c>
      <c r="G178" s="5" t="inlineStr">
        <is>
          <t>A</t>
        </is>
      </c>
      <c r="H178" s="6" t="n"/>
      <c r="I178" s="6" t="n"/>
    </row>
    <row r="179">
      <c r="A179" s="5" t="inlineStr">
        <is>
          <t>2568-003</t>
        </is>
      </c>
      <c r="B179" s="5" t="inlineStr">
        <is>
          <t>post-Act</t>
        </is>
      </c>
      <c r="C179" s="5" t="inlineStr">
        <is>
          <t>สำนักงานตำรวจแห่งชาติ</t>
        </is>
      </c>
      <c r="D179" s="5" t="n">
        <v>4</v>
      </c>
      <c r="E179" s="5" t="n">
        <v>786581</v>
      </c>
      <c r="F179" s="5" t="inlineStr">
        <is>
          <t>1. จ้างซ่อมแซมบำรุงรักษารถยนต์ของทางราชการ หมายเลขทะเบียนรถยนต์ โล่ 06317  โดยวิธีเฉพาะเจาะจง [275,491]
2. จ้างซ่อมแซมบำรุงรักษารถยนต์ของทางราชการ หมายเลขทะเบียนรถยนต์ โล่ 06412 โดยวิธีเฉพาะเจาะจง [238,455]
3. จ้างซ่อมแซมบำรุงรักษารถยนต์ของทางราชการ หมายเลขทะเบียนรถยนต์ โล่ 06414 โดยวิธีเฉพาะเจาะจง [163,921]
4. จ้างซ่อมแซมบำรุงรักษารถยนต์ของทางราชการ หมายเลขทะเบียนรถยนต์ โล่ 06329 โดยวิธีเฉพาะเจาะจง [108,714]</t>
        </is>
      </c>
      <c r="G179" s="5" t="inlineStr">
        <is>
          <t>A</t>
        </is>
      </c>
      <c r="H179" s="6" t="n"/>
      <c r="I179" s="6" t="n"/>
    </row>
    <row r="180">
      <c r="A180" s="5" t="inlineStr">
        <is>
          <t>2568-004</t>
        </is>
      </c>
      <c r="B180" s="5" t="inlineStr">
        <is>
          <t>post-Act</t>
        </is>
      </c>
      <c r="C180" s="5" t="inlineStr">
        <is>
          <t>องค์การบริหารส่วนตำบลบึงทับแรต</t>
        </is>
      </c>
      <c r="D180" s="5" t="n">
        <v>3</v>
      </c>
      <c r="E180" s="5" t="n">
        <v>1494000</v>
      </c>
      <c r="F180" s="5" t="inlineStr">
        <is>
          <t>1. จ้างโครงการเจาะบ่อบาดาลน้ำลึกเพื่อการเกษตร พร้อมติดตั้งระบบโซล่าเซลล์ (บริเวณนานางระย้า อินทสุวรรณ์) หมู่ที่ ๓ บ้านบึงทับแรต โดยวิธีเฉพาะเจาะจง [498,000]
2. จ้างโครงการเจาะบ่อบาดาลน้ำลึกเพื่อการเกษตร พร้อมติดตั้งระบบโซล่าเซลล์ (บริเวณนานายวันเพ็ญ บัวบุญ) หมู่ที่ ๑ บ้านเด่นพระ  โดยวิธีเฉพาะเจาะจง [498,000]
3. จ้างโครงการเจาะบ่อบาดาลน้ำลึกเพื่อการเกษตร พร้อมติดตั้งระบบโซล่าเซลล์ (บริเวณนานางดวงใจ โครตธาดา) หมู่ที่ ๒ บ้านหนองท่าไม้ โดยวิธีเฉพาะเจาะจง [498,000]</t>
        </is>
      </c>
      <c r="G180" s="5" t="inlineStr">
        <is>
          <t>A</t>
        </is>
      </c>
      <c r="H180" s="6" t="n"/>
      <c r="I180" s="6" t="n"/>
    </row>
    <row r="181">
      <c r="A181" s="5" t="inlineStr">
        <is>
          <t>2568-005</t>
        </is>
      </c>
      <c r="B181" s="5" t="inlineStr">
        <is>
          <t>post-Act</t>
        </is>
      </c>
      <c r="C181" s="5" t="inlineStr">
        <is>
          <t>องค์การบริหารส่วนตำบลดู่ลาด</t>
        </is>
      </c>
      <c r="D181" s="5" t="n">
        <v>2</v>
      </c>
      <c r="E181" s="5" t="n">
        <v>514000</v>
      </c>
      <c r="F181" s="5" t="inlineStr">
        <is>
          <t>1. จ้างเหมาโครงการเสริมผิวแอสฟัลติกคอนกรีตถนนสายบ้านโคกกลาง (ทางเข้าหมู่บ้าน ถึง สหกรณ์ชุมชน)หมู่ที่ 7 ตำบลดู่ลาด อำเภอทรายมูล จังหวัดยโสธร ขนาดผิวจราจรกว้าง 4 เมตร ยาว 152 เมตร หนา 0.05 เมตร หรือมีพื้นที่ลาดยางแอสฟัลท์ไม่น้อยกว่า 608 ตารางเมตร ตามแบบ อบต.ดู่ลาดกำหนด โดยวิธีเฉพาะเจาะจง [304,000]
2. จ้างเหมาโครงการเสริมผิวแอสฟัลติกคอนกรีตถนนสายบ้านโคกกลาง (หน้าที่ทำการผู้ใหญ่บ้านบ้านโคกกลาง)หมู่ที่ 7 ตำบลดู่ลาด อำเภอทรายมูล จังหวัดยโสธร ขนาดผิวจราจรกว้าง 4 เมตร ยาว 100 เมตร หนา 0.05 เมตร หรือมีพื้นที่ลาดยางแอสฟัลท์ไม่น้อยกว่า 400 ตารางเมตร ตามแบบ อบต.ดู่ลาดกำหนด โดยวิธีเฉพาะเจาะจง [210,000]</t>
        </is>
      </c>
      <c r="G181" s="5" t="inlineStr">
        <is>
          <t>A</t>
        </is>
      </c>
      <c r="H181" s="6" t="n"/>
      <c r="I181" s="6" t="n"/>
    </row>
    <row r="182">
      <c r="A182" s="5" t="inlineStr">
        <is>
          <t>2568-006</t>
        </is>
      </c>
      <c r="B182" s="5" t="inlineStr">
        <is>
          <t>post-Act</t>
        </is>
      </c>
      <c r="C182" s="5" t="inlineStr">
        <is>
          <t>โรงพยาบาลชลบุรี</t>
        </is>
      </c>
      <c r="D182" s="5" t="n">
        <v>3</v>
      </c>
      <c r="E182" s="5" t="n">
        <v>548200</v>
      </c>
      <c r="F182" s="5" t="inlineStr">
        <is>
          <t>1. ซื้อยาในบัญชียาหลักแห่งชาติ ยา Fentanyl 500 mcg/10 ml injection จำนวน 8,300 Ampule โดยวิธีเฉพาะเจาะจง [498,000]
2. ซื้อยาในบัญชียาหลักแห่งชาติ ยา Morphine 10 mg/ml injection (preservative free) จำนวน 5,000 Ampule โดยวิธีเฉพาะเจาะจง [37,500]
3. ซื้อยาในบัญชียาหลักแห่งชาติ ยา Pseudoephedrine 60 mg tablet จำนวน 20 Box โดยวิธีเฉพาะเจาะจง [12,700]</t>
        </is>
      </c>
      <c r="G182" s="5" t="inlineStr">
        <is>
          <t>B</t>
        </is>
      </c>
      <c r="H182" s="6" t="n"/>
      <c r="I182" s="6" t="n"/>
    </row>
    <row r="183">
      <c r="A183" s="5" t="inlineStr">
        <is>
          <t>2568-007</t>
        </is>
      </c>
      <c r="B183" s="5" t="inlineStr">
        <is>
          <t>post-Act</t>
        </is>
      </c>
      <c r="C183" s="5" t="inlineStr">
        <is>
          <t>องค์การบริหารส่วนตำบลนาขา</t>
        </is>
      </c>
      <c r="D183" s="5" t="n">
        <v>2</v>
      </c>
      <c r="E183" s="5" t="n">
        <v>869500</v>
      </c>
      <c r="F183" s="5" t="inlineStr">
        <is>
          <t>1. จ้างก่อสร้างถนนคอนกรีตเสริมเหล็กสายเขาน้อย - ดอนเกาะ หมู่ที่ ๙ ตำบลนาขา อำเภอหลังสวน จังหวัดชุมพร ผิวจราจรกว้าง ๔ เมตร ระยะทาง ๑๒๐ เมตร หนา ๐.๑๕ เมตร หรือมีพื้นที่ไม่น้อยกว่า ๔๘๐ ตารางเมตร พร้อมติดตั้งป้ายประชาสัมพันธ์โครงการ จำนวน ๑ ป้าย (ตามแบบรูปรายการที่องค์การบริหารส่วนตำบลนาขากำหนด) โดยวิธีเฉพาะเจาะจง [446,500]
2. จ้างก่อสร้างถนนคอนกรีตเสริมเหล็กสายต้นไผ่ หมู่ที่ ๑๒ ตำบลนาขา อำเภอหลังสวน จังหวัดชุมพร ผิวจราจรกว้าง ๔ เมตร ระยะทาง ๑๕๐ เมตร หนา ๐.๑๕ เมตร หรือมีพื้นที่ไม่น้อยกว่า ๖๐๐ ตารางเมตร พร้อมติดตั้งป้ายประชาสัมพันธ์โครงการ จำนวน ๑ ป้าย (ตามแบบรูปรายการที่องค์การบริหารส่วนตำบลนาขากำหนด) โดยวิธีเฉพาะเจาะจง [423,000]</t>
        </is>
      </c>
      <c r="G183" s="5" t="inlineStr">
        <is>
          <t>A</t>
        </is>
      </c>
      <c r="H183" s="6" t="n"/>
      <c r="I183" s="6" t="n"/>
    </row>
    <row r="184">
      <c r="A184" s="5" t="inlineStr">
        <is>
          <t>2568-008</t>
        </is>
      </c>
      <c r="B184" s="5" t="inlineStr">
        <is>
          <t>post-Act</t>
        </is>
      </c>
      <c r="C184" s="5" t="inlineStr">
        <is>
          <t>กรมการปกครอง</t>
        </is>
      </c>
      <c r="D184" s="5" t="n">
        <v>4</v>
      </c>
      <c r="E184" s="5" t="n">
        <v>795000</v>
      </c>
      <c r="F184" s="5" t="inlineStr">
        <is>
          <t>1. จ้างขุดลอกคลองสาธารณะพร้อมกำจัดวัชพืช หมู่ที่ ๑ ตำบลบ้านใหม่ อำเภอบ้านแพรก จังหวัดพระนครศรีอยุธยา ปริมาตรดินขุดไม่น้อยกว่า ๒,๔๘๒ ลูกบาศก์เมตร โดยวิธีเฉพาะเจาะจง [272,900]
2. จ้างขุดลอกคลองสาธารณะพร้อมกำจัดวัชพืช คลองยาง หมู่ที่ ๓ ตำบลสำพะเนียง อำเภอบ้านแพรก จังหวัดพระนครศรีอยุธยา ปริมาตรดินขุดไม่น้อยกว่า ๑,๖๘๐ ลูกบาศก์เมตร โดยวิธีเฉพาะเจาะจง [218,500]
3. จ้างขุดลอกแหล่งน้ำสาธารณะ หนองสำพะเนียง หมู่ที่ ๕ ตำบลสำพะเนียง อำเภอบ้านแพรก จังหวัดพระนครศรีอยุธยา ปริมาตรดินขุดไม่น้อยกว่า ๕,๐๐๐ ลูกบาศก์เมตร โดยวิธีเฉพาะเจาะจง [208,400]
4. จ้างกำจัดวัชพืชหนองปลาดุก หมู่ที่ ๕ ตำบลสำพะเนียง อำเภอบ้านแพรก จังหวัดพระนครศรีอยุธยา โดยวิธีเฉพาะเจาะจง [95,200]</t>
        </is>
      </c>
      <c r="G184" s="5" t="inlineStr">
        <is>
          <t>A</t>
        </is>
      </c>
      <c r="H184" s="6" t="n"/>
      <c r="I184" s="6" t="n"/>
    </row>
    <row r="185">
      <c r="A185" s="5" t="inlineStr">
        <is>
          <t>2568-009</t>
        </is>
      </c>
      <c r="B185" s="5" t="inlineStr">
        <is>
          <t>post-Act</t>
        </is>
      </c>
      <c r="C185" s="5" t="inlineStr">
        <is>
          <t>องค์การบริหารส่วนตำบลแก</t>
        </is>
      </c>
      <c r="D185" s="5" t="n">
        <v>3</v>
      </c>
      <c r="E185" s="5" t="n">
        <v>776000</v>
      </c>
      <c r="F185" s="5" t="inlineStr">
        <is>
          <t>1. จ้างก่อสร้างถนนลงหินคลุกบ้านแก หมู่ที่ 1 ตำบลแก อำเภอรัตนบุรี จังหวัดสุรินทร์ (จากบ้านนายชัยณรงค์ สังสัญชาติ ถึงสุดขตตำบลแก) โดยวิธีเฉพาะเจาะจง [492,000]
2. จ้างโครงการก่อสร้างถนนหินคลุกบ้านจ้อ หมู่ที่ 2 ตำบลแก อำเภอรัตนบุรี จังหวัดสุรินทร์ (จากที่นานายประสิทธิ์  ชาวนาถึงสุดเขตตำบลแก) โดยวิธีเฉพาะเจาะจง [176,000]
3. จ้างโครงการก่อสร้างถนนหินคลุกบ้านพิมาน หมู่ที่ 5 ตำบลแก อำเภอรัตนบุรี จังหวัดสุรินทร์ (ต่อจากโครงการเดิม จากที่พักสงฆ์แดนนาบุญ ถึงหนองผึ้ง) โดยวิธีเฉพาะเจาะจง [108,000]</t>
        </is>
      </c>
      <c r="G185" s="5" t="inlineStr">
        <is>
          <t>A</t>
        </is>
      </c>
      <c r="H185" s="6" t="n"/>
      <c r="I185" s="6" t="n"/>
    </row>
    <row r="186">
      <c r="A186" s="5" t="inlineStr">
        <is>
          <t>2568-010</t>
        </is>
      </c>
      <c r="B186" s="5" t="inlineStr">
        <is>
          <t>post-Act</t>
        </is>
      </c>
      <c r="C186" s="5" t="inlineStr">
        <is>
          <t>องค์การบริหารส่วนตำบลเซกา</t>
        </is>
      </c>
      <c r="D186" s="5" t="n">
        <v>2</v>
      </c>
      <c r="E186" s="5" t="n">
        <v>898000</v>
      </c>
      <c r="F186" s="5" t="inlineStr">
        <is>
          <t>1. จ้างเหมาโครงการก่อสร้างถนนคอนกรีตเสริมเหล็ก สายขัวแม่หม้าย หมู่ที่ 8 บ้านสายปัญญา ถึงวัดป่าประภาโสเนรมิต หมู่ที่ 19 บ้านสายปัญญาเหนือ โดยวิธีเฉพาะเจาะจง [499,000]
2. จ้างเหมาโครงการก่อสร้างถนนคอนกรีตเสริมเหล็กเส้นนานายสังคม  ตรีวงค์ - นานายบุญโชค พันธ์ดวง หมู่ที่4 บ้านห้วยผักขะ                                                  โดยวิธีเฉพาะเจาะจง [399,000]</t>
        </is>
      </c>
      <c r="G186" s="5" t="inlineStr">
        <is>
          <t>A</t>
        </is>
      </c>
      <c r="H186" s="6" t="n"/>
      <c r="I186" s="6" t="n"/>
    </row>
    <row r="187">
      <c r="A187" s="5" t="inlineStr">
        <is>
          <t>2568-011</t>
        </is>
      </c>
      <c r="B187" s="5" t="inlineStr">
        <is>
          <t>post-Act</t>
        </is>
      </c>
      <c r="C187" s="5" t="inlineStr">
        <is>
          <t>กรมที่ดิน</t>
        </is>
      </c>
      <c r="D187" s="5" t="n">
        <v>2</v>
      </c>
      <c r="E187" s="5" t="n">
        <v>514200</v>
      </c>
      <c r="F187" s="5" t="inlineStr">
        <is>
          <t>1. ซื้อครุภัณฑ์สำนักงาน (เครื่องปรับอากาศ) จำนวน 13 เครื่อง ของสำนักงานที่ดินจังหวัดเพชรบุรี  โดยวิธีเฉพาะเจาะจง [477,800]
2. ซื้อครุภัณฑ์สำนักงาน (เครื่องปรับอากาศ) จำนวน 1 เครื่อง ของสำนักงานที่ดินจังหวัดเพชรบุรี  โดยวิธีเฉพาะเจาะจง [36,400]</t>
        </is>
      </c>
      <c r="G187" s="5" t="inlineStr">
        <is>
          <t>A</t>
        </is>
      </c>
      <c r="H187" s="6" t="n"/>
      <c r="I187" s="6" t="n"/>
    </row>
    <row r="188">
      <c r="A188" s="5" t="inlineStr">
        <is>
          <t>2568-012</t>
        </is>
      </c>
      <c r="B188" s="5" t="inlineStr">
        <is>
          <t>post-Act</t>
        </is>
      </c>
      <c r="C188" s="5" t="inlineStr">
        <is>
          <t>มหาวิทยาลัยขอนแก่น</t>
        </is>
      </c>
      <c r="D188" s="5" t="n">
        <v>2</v>
      </c>
      <c r="E188" s="5" t="n">
        <v>580958</v>
      </c>
      <c r="F188" s="5" t="inlineStr">
        <is>
          <t>1. ซื้อวัสดุบริโภค จำนวน 23 รายการ โดยวิธีเฉพาะเจาะจง [420,248]
2. ซื้อวัสดุบริโภค จำนวน 9 รายการ โดยวิธีเฉพาะเจาะจง [160,710]</t>
        </is>
      </c>
      <c r="G188" s="5" t="inlineStr">
        <is>
          <t>A</t>
        </is>
      </c>
      <c r="H188" s="6" t="n"/>
      <c r="I188" s="6" t="n"/>
    </row>
    <row r="189">
      <c r="A189" s="5" t="inlineStr">
        <is>
          <t>2568-013</t>
        </is>
      </c>
      <c r="B189" s="5" t="inlineStr">
        <is>
          <t>post-Act</t>
        </is>
      </c>
      <c r="C189" s="5" t="inlineStr">
        <is>
          <t>องค์การบริหารส่วนตำบลท่ายาง</t>
        </is>
      </c>
      <c r="D189" s="5" t="n">
        <v>2</v>
      </c>
      <c r="E189" s="5" t="n">
        <v>710000</v>
      </c>
      <c r="F189" s="5" t="inlineStr">
        <is>
          <t>1. จ้างโครงการขยายเขตประปาภูมิภาค จากทุ่งใหญ่การเกษตร - ซุปเปอร์ชิป หมู่ที่ 6 โดยวิธีเฉพาะเจาะจง [434,000]
2. จ้างโครงการขยายเขตประปาภูมิภาค จากโรงแรมทุ่งใหญ่ธานี - บ้านนายวิโรจน์ นกแก้ว หมู่ที่ 11 จรด หมู่ที่ 1 โดยวิธีเฉพาะเจาะจง [276,000]</t>
        </is>
      </c>
      <c r="G189" s="5" t="inlineStr">
        <is>
          <t>A</t>
        </is>
      </c>
      <c r="H189" s="6" t="n"/>
      <c r="I189" s="6" t="n"/>
    </row>
    <row r="190">
      <c r="A190" s="5" t="inlineStr">
        <is>
          <t>2568-014</t>
        </is>
      </c>
      <c r="B190" s="5" t="inlineStr">
        <is>
          <t>post-Act</t>
        </is>
      </c>
      <c r="C190" s="5" t="inlineStr">
        <is>
          <t>โรงพยาบาลมุกดาหาร</t>
        </is>
      </c>
      <c r="D190" s="5" t="n">
        <v>3</v>
      </c>
      <c r="E190" s="5" t="n">
        <v>565460</v>
      </c>
      <c r="F190" s="5" t="inlineStr">
        <is>
          <t>1. ซื้อMeropenem ๑ g powder for solution for injection/infusion  โดยวิธีเฉพาะเจาะจง [288,900]
2. ซื้อเวชภัณฑ์ยา จำนวน  ๔ รายการ      โดยวิธีเฉพาะเจาะจง [246,560]
3. ซื้อQuetiapine ๒๕ mg film-coated table โดยวิธีเฉพาะเจาะจง [30,000]</t>
        </is>
      </c>
      <c r="G190" s="5" t="inlineStr">
        <is>
          <t>B</t>
        </is>
      </c>
      <c r="H190" s="6" t="n"/>
      <c r="I190" s="6" t="n"/>
    </row>
    <row r="191">
      <c r="A191" s="5" t="inlineStr">
        <is>
          <t>2568-015</t>
        </is>
      </c>
      <c r="B191" s="5" t="inlineStr">
        <is>
          <t>post-Act</t>
        </is>
      </c>
      <c r="C191" s="5" t="inlineStr">
        <is>
          <t>เทศบาลตำบลบ้านค้อ</t>
        </is>
      </c>
      <c r="D191" s="5" t="n">
        <v>3</v>
      </c>
      <c r="E191" s="5" t="n">
        <v>1385000</v>
      </c>
      <c r="F191" s="5" t="inlineStr">
        <is>
          <t>1. จ้างโครงการก่อสร้างถนนคอนกรีตเสริมเหล็กภายในหมู่บ้าน สายท่อนน้อย ถึง ป่าช้า หมู่ที่ ๑ บ้านท่อนน้อย ตำบลบ้านค้อ อำเภอเมืองขอนแก่น จังหวัดขอนแก่น แผนงานอุตสาหกรรมและการโยธา  หมวดค่าที่ดินและสิ่งก่อสร้าง  ประเภทค่าก่อสร้างสิ่งสาธารณูปการ เงินสะสม ประจำปีงบประมาณรายจ่าย พ.ศ.๒๕๖๗ ครั้งที่ ๒ โดยวิธีเฉพาะเจาะจง [462,000]
2. จ้างโครงการก่อสร้างถนนคอนกรีตเสริมเหล็กภายในหมู่บ้าน (ซอยพ่อจร  ดอนคูณสี) หมู่ที่ ๖ บ้านโนนเรือง ตำบลบ้านค้อ อำเภอเมืองขอนแก่น จังหวัดขอนแก่น แผนงานอุตสาหกรรมและการโยธา  หมวดค่าที่ดินและสิ่งก่อสร้าง  ประเภทค่าก่อสร้างสิ่งสาธารณูปการ เงินสะสม ประจำปีงบประมาณรายจ่าย พ.ศ.๒๕๖๗ ครั้งที่ ๒ โดยวิธีเฉพาะเจาะจง [462,000]
3. จ้างโครงการก่อสร้างถนนคอนกรีตเสริมเหล็กภายในหมู่บ้าน (ซอยแม่กรรณิกา – พ่อสมศักดิ์) หมู่ที่ ๔ บ้านโนนลาน ตำบลบ้านค้อ อำเภอเมืองขอนแก่น จังหวัดขอนแก่น แผนงานอุตสาหกรรมและการโยธา  หมวดค่าที่ดินและสิ่งก่อสร้าง  ประเภทค่าก่อสร้างสิ่งสาธารณูปการ เงินสะสม ประจำปีงบประมาณรายจ่าย พ.ศ.๒๕๖๗ ครั้งที่ ๒ โดยวิธีเฉพาะเจาะจง [461,000]</t>
        </is>
      </c>
      <c r="G191" s="5" t="inlineStr">
        <is>
          <t>A</t>
        </is>
      </c>
      <c r="H191" s="6" t="n"/>
      <c r="I191" s="6" t="n"/>
    </row>
    <row r="192">
      <c r="A192" s="5" t="inlineStr">
        <is>
          <t>2568-016</t>
        </is>
      </c>
      <c r="B192" s="5" t="inlineStr">
        <is>
          <t>post-Act</t>
        </is>
      </c>
      <c r="C192" s="5" t="inlineStr">
        <is>
          <t>เทศบาลตำบลนางบวช</t>
        </is>
      </c>
      <c r="D192" s="5" t="n">
        <v>2</v>
      </c>
      <c r="E192" s="5" t="n">
        <v>545000</v>
      </c>
      <c r="F192" s="5" t="inlineStr">
        <is>
          <t>1. จ้างโครงการบำรุงรักษาและซ่อมแซม ด้วยการลงหินคลุกฯ บริเวณสะพาน ร๕ข สุพรรณ๒ (ฝั่งทิศตะวันออก) ไปทางทิศเหนือ หมู่ที่ ๕ โดยวิธีเฉพาะเจาะจง [460,000]
2. จ้างโครงการบำรุงรักษาและซ่อมแซม ด้วยการลงหินคลุกฯ บริเวณถนนเส้นหลังสถานีไฟฟ้าแรงสูงเดิมบางนางบวช หมู่ที่ 4 โดยวิธีเฉพาะเจาะจง [85,000]</t>
        </is>
      </c>
      <c r="G192" s="5" t="inlineStr">
        <is>
          <t>A</t>
        </is>
      </c>
      <c r="H192" s="6" t="n"/>
      <c r="I192" s="6" t="n"/>
    </row>
    <row r="193">
      <c r="A193" s="5" t="inlineStr">
        <is>
          <t>2568-017</t>
        </is>
      </c>
      <c r="B193" s="5" t="inlineStr">
        <is>
          <t>post-Act</t>
        </is>
      </c>
      <c r="C193" s="5" t="inlineStr">
        <is>
          <t>เทศบาลตำบลทุ่งศรีชุมพล</t>
        </is>
      </c>
      <c r="D193" s="5" t="n">
        <v>3</v>
      </c>
      <c r="E193" s="5" t="n">
        <v>1369000</v>
      </c>
      <c r="F193" s="5" t="inlineStr">
        <is>
          <t>1. จ้างปรับปรุงผิวทางโดยวิธีเสริมผิวทางลงหินคลุก หมู่ที่ 5 บ้านโนนสาย เส้นทางสายจากหนองหัวโล้น - กุดปึก  โดยวิธีเฉพาะเจาะจง [469,000]
2. จ้างปรับปรุงผิวทางโดยวิธีเสริมผิวทางลงหินคลุก หมู่ที่ 20  บ้านใหม่ สปก. เส้นทางสาย หลังศาลาอเนกประสงค์ - บ้านนางอ้ม  ประติสุด   โดยวิธีเฉพาะเจาะจง [458,000]
3. จ้างปรับปรุงผิวทางโดยวิธีเสริมผิวทางลงหินคลุก หมู่ที่ 8 บ้านโคกสูง   เส้นทางสาย เลียบคลองศรีชุมพล  จากแยกสนามบิน - บ้านแคนเกิด   โดยวิธีเฉพาะเจาะจง [442,000]</t>
        </is>
      </c>
      <c r="G193" s="5" t="inlineStr">
        <is>
          <t>A</t>
        </is>
      </c>
      <c r="H193" s="6" t="n"/>
      <c r="I193" s="6" t="n"/>
    </row>
    <row r="194">
      <c r="A194" s="5" t="inlineStr">
        <is>
          <t>2568-018</t>
        </is>
      </c>
      <c r="B194" s="5" t="inlineStr">
        <is>
          <t>post-Act</t>
        </is>
      </c>
      <c r="C194" s="5" t="inlineStr">
        <is>
          <t>โรงพยาบาลเชียงรายประชานุเคราะห์</t>
        </is>
      </c>
      <c r="D194" s="5" t="n">
        <v>2</v>
      </c>
      <c r="E194" s="5" t="n">
        <v>592438</v>
      </c>
      <c r="F194" s="5" t="inlineStr">
        <is>
          <t>1. ซื้อวัสดุทั่วไป (สำรองคลัง) จำนวน ๓ ประเภท โดยวิธีเฉพาะเจาะจง [498,682]
2. ซื้อวัสดุทั่วไป (สำรองคลัง) จำนวน ๓ ประเภท โดยวิธีเฉพาะเจาะจง [93,756]</t>
        </is>
      </c>
      <c r="G194" s="5" t="inlineStr">
        <is>
          <t>A</t>
        </is>
      </c>
      <c r="H194" s="6" t="n"/>
      <c r="I194" s="6" t="n"/>
    </row>
    <row r="195">
      <c r="A195" s="5" t="inlineStr">
        <is>
          <t>2568-019</t>
        </is>
      </c>
      <c r="B195" s="5" t="inlineStr">
        <is>
          <t>post-Act</t>
        </is>
      </c>
      <c r="C195" s="5" t="inlineStr">
        <is>
          <t>กรมชลประทาน</t>
        </is>
      </c>
      <c r="D195" s="5" t="n">
        <v>2</v>
      </c>
      <c r="E195" s="5" t="n">
        <v>539042</v>
      </c>
      <c r="F195" s="5" t="inlineStr">
        <is>
          <t>1. ซื้อไม้แปรรูปสำหรับงานก่อสร้างทั่วไป มอก.424-2530  และอื่นๆ จำนวน 3 รายการ เลขที่ สชป.13/รซ.330/2568 โดยวิธีเฉพาะเจาะจง [470,792]
2. ซื้อแผ่นพื้นสำเร็จรูป ขนาด 3.00x0.35x0.05 และอื่นๆ จำนวน 2 รายการ เลขที่ สชป.13/รซ.332/2568 โดยวิธีเฉพาะเจาะจง [68,250]</t>
        </is>
      </c>
      <c r="G195" s="5" t="inlineStr">
        <is>
          <t>B</t>
        </is>
      </c>
      <c r="H195" s="6" t="n"/>
      <c r="I195" s="6" t="n"/>
    </row>
    <row r="196">
      <c r="A196" s="5" t="inlineStr">
        <is>
          <t>2568-020</t>
        </is>
      </c>
      <c r="B196" s="5" t="inlineStr">
        <is>
          <t>post-Act</t>
        </is>
      </c>
      <c r="C196" s="5" t="inlineStr">
        <is>
          <t>เทศบาลตำบลโพนางดำออก</t>
        </is>
      </c>
      <c r="D196" s="5" t="n">
        <v>7</v>
      </c>
      <c r="E196" s="5" t="n">
        <v>517620</v>
      </c>
      <c r="F196" s="5" t="inlineStr">
        <is>
          <t>1. ซื้อทรายและกระสอบทรายเพื่อแก้ไขปัญหาอุทกภัยให้แก่ประชาชน ( จ่ายขาดเงินสะสมครั้งที่ ๑ ) โดยวิธีเฉพาะเจาะจง [334,930]
2. จ้างเหมาทำคันหินคลุก บริเวณ เลียบแม่น้ำเจ้าพระยา หมู่ที่ ๓ - ๔ เพื่อแก้ไขปัญหาอุทกภัยให้แก่ประชาชน ( จ่ายขาดเงินสะสมครั้งที่ ๑ ) โดยวิธีเฉพาะเจาะจง [108,140]
3. ซื้อผ้ายางดำปูพื้น เพื่อแก้ไขปัญหาอุทกภัยให้แก่ประชาชน ( จ่ายขาดเงินสะสมครั้งที่ ๑ ) โดยวิธีเฉพาะเจาะจง [27,750]
4. ซื้อถุงบิ๊กแบ็คเพื่อบรรจุทรายป้องกันน้ำท่วม เพื่อแก้ไขปัญหาอุทกภัยให้แก่ประชาชน ( จ่ายขาดเงินสะสมครั้งที่ ๑ ) โดยวิธีเฉพาะเจาะจง [22,400]
5. จ้างเหมารถแบ็คโฮยกถุงบิ๊กแบ็คเพื่อแก้ไขปัญหาอุทกภัยให้แก่ประชาชน ( จ่ายขาดเงินสะสมครั้งที่ ๑ ) โดยวิธีเฉพาะเจาะจง [12,000]
6. ซื้อเครื่องสูบน้ำท่อพญานาค เพื่อแก้ไขปัญหาอุทกภัยให้แก่ประชาชน ( จ่ายขาดเงินสะสมครั้งที่ ๑ ) โดยวิธีเฉพาะเจาะจง [10,800]
7. ซื้อท่อสูบน้ำผ้าใบ ขนาด ๑๔ นิ้ว เพื่อแก้ไขปัญหาอุทกภัยให้แก่ประชาชน ( จ่ายขาดเงินสะสมครั้งที่ ๑ ) โดยวิธีเฉพาะเจาะจง [1,600]</t>
        </is>
      </c>
      <c r="G196" s="5" t="inlineStr">
        <is>
          <t>B</t>
        </is>
      </c>
      <c r="H196" s="6" t="n"/>
      <c r="I196" s="6" t="n"/>
    </row>
    <row r="197">
      <c r="A197" s="5" t="inlineStr">
        <is>
          <t>2568-021</t>
        </is>
      </c>
      <c r="B197" s="5" t="inlineStr">
        <is>
          <t>post-Act</t>
        </is>
      </c>
      <c r="C197" s="5" t="inlineStr">
        <is>
          <t>กรมชลประทาน</t>
        </is>
      </c>
      <c r="D197" s="5" t="n">
        <v>3</v>
      </c>
      <c r="E197" s="5" t="n">
        <v>971153</v>
      </c>
      <c r="F197" s="5" t="inlineStr">
        <is>
          <t>1. ซื้อหินใหญ่คละ ขนาด ๑๕-๓๐ ซม. และอื่นๆ รวมจำนวน ๗ รายการ สำหรับโครงการซ่อมแซมอาคารป้องกันการกัดเซาะบริเวณสะพานรถยนต์ ถนนสายที่ ๒ กม.๐+๒๐๐ พร้อมส่วนประกอบอื่น อ่างเก็บน้ำคลองหาดส้มแป้น โครงการชลประทานระนอง ตำบลหาดส้มแป้น อำเภอเมืองระนอง จังหวัดระนอง (คป.ระนอง) โดยวิธีเฉพาะเจาะจง [477,815]
2. ซื้อหินใหญ่คละ ขนาด ๑๕-๓๐ ซม. และอื่น ๆ รวมจำนวน ๕ รายการ สำหรับโครงการซ่อมแซมอาคารอัดน้ำห้วยหอย (พรด.) พร้อมส่วนประกอบอื่น ตำบลในวงใต้ อำเภอละอุ่น จังหวัดระนอง (คป.ระนอง) โดยวิธีเฉพาะเจาะจง [468,339]
3. ซื้อวัสดุเบ็ดเตล็ด และอื่นๆ รวมจำนวน ๒๑ รายการ สำหรับงานซ่อมแซมระบบท่อส่งน้ำ ความยาว ๓๐๐ เมตร พร้อมส่วนประกอบอื่นๆ ฝายคลองหินเพิง (พรด.) ตำบลหาดส้มแป้น อำเภอเมืองระนอง จังหวัดระนอง (คป.ระนอง) โดยวิธีเฉพาะเจาะจง [25,000]</t>
        </is>
      </c>
      <c r="G197" s="5" t="inlineStr">
        <is>
          <t>A</t>
        </is>
      </c>
      <c r="H197" s="6" t="n"/>
      <c r="I197" s="6" t="n"/>
    </row>
    <row r="198">
      <c r="A198" s="5" t="inlineStr">
        <is>
          <t>2568-022</t>
        </is>
      </c>
      <c r="B198" s="5" t="inlineStr">
        <is>
          <t>post-Act</t>
        </is>
      </c>
      <c r="C198" s="5" t="inlineStr">
        <is>
          <t>องค์การบริหารส่วนตำบลท่าขุนราม</t>
        </is>
      </c>
      <c r="D198" s="5" t="n">
        <v>2</v>
      </c>
      <c r="E198" s="5" t="n">
        <v>943800</v>
      </c>
      <c r="F198" s="5" t="inlineStr">
        <is>
          <t>1. จ้างโครงการปรับปรุงท่อเมนประปาหมู่บ้าน หมู่ที่ ๙ ตำบลท่าขุนราม อำเภอเมืองกำแพงเพชร จังหวัดกำแพงเพชร โดยวิธีเฉพาะเจาะจง [498,000]
2. จ้างโครงการก่อสร้างทางระบายน้ำ ซอยคุ้ม ๓ หมู่ที่ ๔ ตำบลท่าขุนราม อำเภอเมืองกำแพงเพชร จังหวัดกำแพงเพชร โดยวิธีเฉพาะเจาะจง [445,800]</t>
        </is>
      </c>
      <c r="G198" s="5" t="inlineStr">
        <is>
          <t>B</t>
        </is>
      </c>
      <c r="H198" s="6" t="n"/>
      <c r="I198" s="6" t="n"/>
    </row>
    <row r="199">
      <c r="A199" s="5" t="inlineStr">
        <is>
          <t>2568-023</t>
        </is>
      </c>
      <c r="B199" s="5" t="inlineStr">
        <is>
          <t>post-Act</t>
        </is>
      </c>
      <c r="C199" s="5" t="inlineStr">
        <is>
          <t>องค์การบริหารส่วนตำบลพระครู</t>
        </is>
      </c>
      <c r="D199" s="5" t="n">
        <v>4</v>
      </c>
      <c r="E199" s="5" t="n">
        <v>1317000</v>
      </c>
      <c r="F199" s="5" t="inlineStr">
        <is>
          <t>1. จ้างโครงการต่อเติมอาคารสำนักงานองค์การบริหารส่วนตำบลพระครู ตำบลพระครู  อำเภอเมืองบุรีรัมย์  จังหวัดบุรีรัมย์ โดยวิธีเฉพาะเจาะจง [497,500]
2. จ้างโครงการก่อสร้างโดมอเนกประสงค์ บ้านม่วงใต้ หมู่ที่ ๘   ตำบลพระครู  อำเภอเมืองบุรีรัมย์  จังหวัดบุรีรัมย์ โดยวิธีเฉพาะเจาะจง [491,000]
3. จ้างโครงการก่อสร้างโรงสูบน้ำ บ้านพระครู หมู่ที่ ๑ ตำบลพระครู อำเภอเมือง จังหวัดบุรีรัมย์ โดยวิธีเฉพาะเจาะจง [199,500]
4. จ้างซ่อมแซมถนนผิวจราจรลงหินคลุก  บ้านแก่นเจริญ  หมุู่ที่  ๑๐ ตำบลพระครู  อำเภอเมืองบุรีรัมย์  จังหวัดบุรีรัมย์ โดยวิธีเฉพาะเจาะจง [129,000]</t>
        </is>
      </c>
      <c r="G199" s="5" t="inlineStr">
        <is>
          <t>B</t>
        </is>
      </c>
      <c r="H199" s="6" t="n"/>
      <c r="I199" s="6" t="n"/>
    </row>
    <row r="200">
      <c r="A200" s="5" t="inlineStr">
        <is>
          <t>2568-024</t>
        </is>
      </c>
      <c r="B200" s="5" t="inlineStr">
        <is>
          <t>post-Act</t>
        </is>
      </c>
      <c r="C200" s="5" t="inlineStr">
        <is>
          <t>องค์การบริหารส่วนตำบลภูเหล็ก</t>
        </is>
      </c>
      <c r="D200" s="5" t="n">
        <v>3</v>
      </c>
      <c r="E200" s="5" t="n">
        <v>831000</v>
      </c>
      <c r="F200" s="5" t="inlineStr">
        <is>
          <t>1. จ้างเหมาโครงการก่อสร้างถนนคอนกรีตเสริมเหล็ก สายแยกลาดยาง ทถ.๑๗๑-๐๑ วัดป่าพุทธพิทักษ์วนาราม หมู่ที่ ๔ - เขตตำบลในเมือง บ้านหนองหญ้าปล้อง หมู่ที่ ๔  ตำบลภูเหล็ก  รหัสสายทางหลวงท้องถิ่น ขก.ถ.๑๗๑-๒๑ โดยวิธีเฉพาะเจาะจง [498,000]
2. จ้างเหมาโครงการก่อสร้างถนนคอนกรีตเสริมเหล็ก เส้นแยกบ้านนายขวัญชัย ไมตรีแพน ถึง แยกถนน ขก ๔๐๔๔  บ้านโนนสวรรค์ใหม่ หมู่ที่ ๙ ตำบลภูเหล็ก โดยวิธีเฉพาะเจาะจง [173,700]
3. จ้างเหมาโครงการก่อสร้างถนนคอนกรีตเสริมเหล็ก เส้นแยกบ้านนายเดชณรงค์  วรวงษ์ ถึง หลังบ้านนางคำนาง  สมศรี บ้านโนนสวรรค์ใหม่ หมู่ที่ ๙ ตำบลภูเหล็ก โดยวิธีเฉพาะเจาะจง [159,300]</t>
        </is>
      </c>
      <c r="G200" s="5" t="inlineStr">
        <is>
          <t>A</t>
        </is>
      </c>
      <c r="H200" s="6" t="n"/>
      <c r="I200" s="6" t="n"/>
    </row>
    <row r="201">
      <c r="A201" s="5" t="inlineStr">
        <is>
          <t>2568-025</t>
        </is>
      </c>
      <c r="B201" s="5" t="inlineStr">
        <is>
          <t>post-Act</t>
        </is>
      </c>
      <c r="C201" s="5" t="inlineStr">
        <is>
          <t>เทศบาลตำบลกะทูน</t>
        </is>
      </c>
      <c r="D201" s="5" t="n">
        <v>2</v>
      </c>
      <c r="E201" s="5" t="n">
        <v>998000</v>
      </c>
      <c r="F201" s="5" t="inlineStr">
        <is>
          <t>1. จ้างซ่อมแซมถนนสายห้วยกำ ระหว่าง กม. 0+000 - กม. 2.+479 ตัดคันทางลึก 0.20 เมตร กว้าง 5 เมตร ระยะทางยาว 2,479 เมตร หมู่ที่ 7 ตำบลกะทูน อำเภอพิปูน จังหวัดนครศรีธรมราช โดยวิธีเฉพาะเจาะจง [499,000]
2. จ้างซ่อมแซมถนนสายห้วยหมื่นสี่ ระหว่าง กม.3+220 - กม.5+699 ตัดคันทางลึก 0.20 ผิวทางกว้าง 5 เมตร ระยะทางยาว 2,479 เมตร หมู่ที่ 7 ตำบลกะทูน อำเภอพิปูน จังหวัดนครศรีธรรมราช โดยวิธีเฉพาะเจาะจง [499,000]</t>
        </is>
      </c>
      <c r="G201" s="5" t="inlineStr">
        <is>
          <t>A</t>
        </is>
      </c>
      <c r="H201" s="6" t="n"/>
      <c r="I201" s="6" t="n"/>
    </row>
  </sheetData>
  <dataValidations count="1">
    <dataValidation sqref="H2:H201" showDropDown="0" showInputMessage="0" showErrorMessage="0" allowBlank="1" type="list">
      <formula1>"A,B,C"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10" customWidth="1" min="4" max="4"/>
    <col width="14" customWidth="1" min="5" max="5"/>
  </cols>
  <sheetData>
    <row r="1">
      <c r="A1" s="3" t="inlineStr">
        <is>
          <t>period</t>
        </is>
      </c>
      <c r="B1" s="3" t="inlineStr">
        <is>
          <t>code</t>
        </is>
      </c>
      <c r="C1" s="3" t="inlineStr">
        <is>
          <t>proposed</t>
        </is>
      </c>
      <c r="D1" s="3" t="inlineStr">
        <is>
          <t>verified</t>
        </is>
      </c>
      <c r="E1" s="3" t="inlineStr">
        <is>
          <t>verified share</t>
        </is>
      </c>
    </row>
    <row r="2">
      <c r="A2" s="4" t="inlineStr">
        <is>
          <t>pre (FY2015)</t>
        </is>
      </c>
      <c r="B2" s="4" t="inlineStr">
        <is>
          <t>A</t>
        </is>
      </c>
      <c r="C2" s="4">
        <f>COUNTIFS(Clusters!$B$2:$B$201,$A2,Clusters!$G$2:$G$201,$B2)</f>
        <v/>
      </c>
      <c r="D2" s="4">
        <f>COUNTIFS(Clusters!$B$2:$B$201,$A2,Clusters!$H$2:$H$201,$B2)</f>
        <v/>
      </c>
      <c r="E2" s="7">
        <f>IFERROR(D2/SUMIFS($D$2:$D$7,$A$2:$A$7,$A2),"")</f>
        <v/>
      </c>
    </row>
    <row r="3">
      <c r="A3" s="4" t="inlineStr">
        <is>
          <t>pre (FY2015)</t>
        </is>
      </c>
      <c r="B3" s="4" t="inlineStr">
        <is>
          <t>B</t>
        </is>
      </c>
      <c r="C3" s="4">
        <f>COUNTIFS(Clusters!$B$2:$B$201,$A3,Clusters!$G$2:$G$201,$B3)</f>
        <v/>
      </c>
      <c r="D3" s="4">
        <f>COUNTIFS(Clusters!$B$2:$B$201,$A3,Clusters!$H$2:$H$201,$B3)</f>
        <v/>
      </c>
      <c r="E3" s="7">
        <f>IFERROR(D3/SUMIFS($D$2:$D$7,$A$2:$A$7,$A3),"")</f>
        <v/>
      </c>
    </row>
    <row r="4">
      <c r="A4" s="4" t="inlineStr">
        <is>
          <t>pre (FY2015)</t>
        </is>
      </c>
      <c r="B4" s="4" t="inlineStr">
        <is>
          <t>C</t>
        </is>
      </c>
      <c r="C4" s="4">
        <f>COUNTIFS(Clusters!$B$2:$B$201,$A4,Clusters!$G$2:$G$201,$B4)</f>
        <v/>
      </c>
      <c r="D4" s="4">
        <f>COUNTIFS(Clusters!$B$2:$B$201,$A4,Clusters!$H$2:$H$201,$B4)</f>
        <v/>
      </c>
      <c r="E4" s="7">
        <f>IFERROR(D4/SUMIFS($D$2:$D$7,$A$2:$A$7,$A4),"")</f>
        <v/>
      </c>
    </row>
    <row r="5">
      <c r="A5" s="4" t="inlineStr">
        <is>
          <t>post-Act</t>
        </is>
      </c>
      <c r="B5" s="4" t="inlineStr">
        <is>
          <t>A</t>
        </is>
      </c>
      <c r="C5" s="4">
        <f>COUNTIFS(Clusters!$B$2:$B$201,$A5,Clusters!$G$2:$G$201,$B5)</f>
        <v/>
      </c>
      <c r="D5" s="4">
        <f>COUNTIFS(Clusters!$B$2:$B$201,$A5,Clusters!$H$2:$H$201,$B5)</f>
        <v/>
      </c>
      <c r="E5" s="7">
        <f>IFERROR(D5/SUMIFS($D$2:$D$7,$A$2:$A$7,$A5),"")</f>
        <v/>
      </c>
    </row>
    <row r="6">
      <c r="A6" s="4" t="inlineStr">
        <is>
          <t>post-Act</t>
        </is>
      </c>
      <c r="B6" s="4" t="inlineStr">
        <is>
          <t>B</t>
        </is>
      </c>
      <c r="C6" s="4">
        <f>COUNTIFS(Clusters!$B$2:$B$201,$A6,Clusters!$G$2:$G$201,$B6)</f>
        <v/>
      </c>
      <c r="D6" s="4">
        <f>COUNTIFS(Clusters!$B$2:$B$201,$A6,Clusters!$H$2:$H$201,$B6)</f>
        <v/>
      </c>
      <c r="E6" s="7">
        <f>IFERROR(D6/SUMIFS($D$2:$D$7,$A$2:$A$7,$A6),"")</f>
        <v/>
      </c>
    </row>
    <row r="7">
      <c r="A7" s="4" t="inlineStr">
        <is>
          <t>post-Act</t>
        </is>
      </c>
      <c r="B7" s="4" t="inlineStr">
        <is>
          <t>C</t>
        </is>
      </c>
      <c r="C7" s="4">
        <f>COUNTIFS(Clusters!$B$2:$B$201,$A7,Clusters!$G$2:$G$201,$B7)</f>
        <v/>
      </c>
      <c r="D7" s="4">
        <f>COUNTIFS(Clusters!$B$2:$B$201,$A7,Clusters!$H$2:$H$201,$B7)</f>
        <v/>
      </c>
      <c r="E7" s="7">
        <f>IFERROR(D7/SUMIFS($D$2:$D$7,$A$2:$A$7,$A7),"")</f>
        <v/>
      </c>
    </row>
    <row r="8">
      <c r="A8" s="4" t="n"/>
      <c r="B8" s="4" t="n"/>
      <c r="C8" s="4" t="n"/>
      <c r="D8" s="4" t="n"/>
      <c r="E8" s="4" t="n"/>
    </row>
    <row r="9">
      <c r="A9" s="4" t="inlineStr">
        <is>
          <t>rows verified</t>
        </is>
      </c>
      <c r="B9" s="4" t="n"/>
      <c r="C9" s="4" t="n"/>
      <c r="D9" s="4">
        <f>COUNTA(Clusters!$H$2:$H$201)</f>
        <v/>
      </c>
      <c r="E9" s="4" t="n"/>
    </row>
    <row r="10">
      <c r="A10" s="4" t="inlineStr">
        <is>
          <t>rows where verified = proposed</t>
        </is>
      </c>
      <c r="B10" s="4" t="n"/>
      <c r="C10" s="4" t="n"/>
      <c r="D10" s="4">
        <f>SUMPRODUCT((Clusters!$H$2:$H$201&lt;&gt;"")*(Clusters!$H$2:$H$201=Clusters!$G$2:$G$201))</f>
        <v/>
      </c>
      <c r="E10" s="4" t="n"/>
    </row>
    <row r="11">
      <c r="A11" s="4" t="inlineStr">
        <is>
          <t>agreement</t>
        </is>
      </c>
      <c r="B11" s="4" t="n"/>
      <c r="C11" s="4" t="n"/>
      <c r="D11" s="7">
        <f>IFERROR(D10/D9,"")</f>
        <v/>
      </c>
      <c r="E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2026-10-16T16:52:18Z</dcterms:created>
  <dcterms:modified xmlns:dcterms="http://purl.org/dc/terms/" xmlns:xsi="http://www.w3.org/2001/XMLSchema-instance" xsi:type="dcterms:W3CDTF">2026-10-16T16:52:18Z</dcterms:modified>
</cp:coreProperties>
</file>